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7"/>
  <workbookPr defaultThemeVersion="124226"/>
  <mc:AlternateContent xmlns:mc="http://schemas.openxmlformats.org/markup-compatibility/2006">
    <mc:Choice Requires="x15">
      <x15ac:absPath xmlns:x15ac="http://schemas.microsoft.com/office/spreadsheetml/2010/11/ac" url="/Users/padmajaganapathy/Documents/Godavari/Financials/Commission notes/Template/"/>
    </mc:Choice>
  </mc:AlternateContent>
  <xr:revisionPtr revIDLastSave="0" documentId="8_{D5DD45CA-C751-1F41-B88A-E07E87EA1775}" xr6:coauthVersionLast="47" xr6:coauthVersionMax="47" xr10:uidLastSave="{00000000-0000-0000-0000-000000000000}"/>
  <bookViews>
    <workbookView xWindow="0" yWindow="660" windowWidth="29180" windowHeight="16640" xr2:uid="{00000000-000D-0000-FFFF-FFFF00000000}"/>
  </bookViews>
  <sheets>
    <sheet name="GBL- com - 2012-15-2" sheetId="1" r:id="rId1"/>
    <sheet name="Sheet1" sheetId="2" r:id="rId2"/>
  </sheets>
  <definedNames>
    <definedName name="_xlnm.Print_Area" localSheetId="0">'GBL- com - 2012-15-2'!$A$1:$G$95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69" i="1" l="1"/>
  <c r="B69" i="1"/>
  <c r="A69" i="1"/>
  <c r="A60" i="1"/>
  <c r="D19" i="1"/>
  <c r="B19" i="1"/>
  <c r="F53" i="1" l="1"/>
  <c r="F27" i="1" l="1"/>
  <c r="F30" i="1" s="1"/>
</calcChain>
</file>

<file path=xl/sharedStrings.xml><?xml version="1.0" encoding="utf-8"?>
<sst xmlns="http://schemas.openxmlformats.org/spreadsheetml/2006/main" count="71" uniqueCount="52">
  <si>
    <t>Commercial Invoice</t>
  </si>
  <si>
    <t>Godavari Biorefineries Inc</t>
  </si>
  <si>
    <t>Date:</t>
  </si>
  <si>
    <t>Invoice #:</t>
  </si>
  <si>
    <t>Customer:</t>
  </si>
  <si>
    <t>Godavari Biorefineries Ltd</t>
  </si>
  <si>
    <t>Factory: Sakarwadi (Stn. Kanhegaon)</t>
  </si>
  <si>
    <t>Dist. Ahmednagar</t>
  </si>
  <si>
    <t>Maharashtra - 413 708</t>
  </si>
  <si>
    <t>Contact Person</t>
  </si>
  <si>
    <t>Due Date</t>
  </si>
  <si>
    <t>Company</t>
  </si>
  <si>
    <t>Invoice</t>
  </si>
  <si>
    <t>Quantity</t>
  </si>
  <si>
    <t>FOB Value</t>
  </si>
  <si>
    <t>Commission</t>
  </si>
  <si>
    <t>Value (USD)</t>
  </si>
  <si>
    <t>Product</t>
  </si>
  <si>
    <t>Remit Electronic Payment To:</t>
  </si>
  <si>
    <t>Total</t>
  </si>
  <si>
    <t>Name on Account: Godavari Biorefineries Inc</t>
  </si>
  <si>
    <t>Authorized Signatory</t>
  </si>
  <si>
    <t>Please mail checks to our address listed at the top of the invoice</t>
  </si>
  <si>
    <t>In Case of Emergency Contact: 1-800-424-9300 (Chemtrec)</t>
  </si>
  <si>
    <t>IMDG: 3220, UN #:1173 Haz Class: 3, PG: II</t>
  </si>
  <si>
    <t>We Certify that this Invoice shows the actual prices of the goods described and that all particulars are true and correct.</t>
  </si>
  <si>
    <t xml:space="preserve">The 'customer'will pay the entire outstanding balance of each invoice within Thirty (30) days of the date of receipt of the goods mentioned above.  All payments shall reference the applicable invoice number and shall be delivered to the account referenced above.  In the event that the 'customer' fails to pay any invoice when it becomes due, Godavari shall charge a monthly late fee in an amount equal to the lesser of (i) 1.5% of the total amount of the past due payment, or (ii) the maximum amount permitted by law.  The  'customer' shall pay any and all expenses incurred by Godavari (including without limitation court costs and reasonable attorney fees, whether or not legal action is commenced against 'customer' in connection with the collection of any amounts due and owing hereunder.  Godavari reserves the right, at any time and from time to time, to require payment either in advance of delivery or concurrently with delivery, provided that reasonable notice thereof is provided to 'customer'.  Godavari’s delivery of goods to Client is expressly conditioned upon Client’s acceptance of these terms and conditions, and 'customer' acceptance of this delivery of goods constitutes 'customers' agreement with the terms and conditions described above. </t>
  </si>
  <si>
    <t>Notice of Order</t>
  </si>
  <si>
    <t>Delivery Port</t>
  </si>
  <si>
    <t>Description</t>
  </si>
  <si>
    <t>Shipment Date</t>
  </si>
  <si>
    <t>MPO</t>
  </si>
  <si>
    <t>Our Bank: Chemung Canal Trust Company</t>
  </si>
  <si>
    <t>Acct#: 204082566</t>
  </si>
  <si>
    <t>Routing #: 021301115</t>
  </si>
  <si>
    <t>Bank Address:  909 Hanshaw Road, Ithaca, NY 14850</t>
  </si>
  <si>
    <t>Bank Phone: (607) 257-2194</t>
  </si>
  <si>
    <t>Swift Code: CCTRUS31</t>
  </si>
  <si>
    <t>CIF Price ($/MT)</t>
  </si>
  <si>
    <t>Savannah, USA</t>
  </si>
  <si>
    <t>PROMPT</t>
  </si>
  <si>
    <t>Quantity (MT) +-5%</t>
  </si>
  <si>
    <t xml:space="preserve"> </t>
  </si>
  <si>
    <t>IFF Chemical Holding</t>
  </si>
  <si>
    <t>One Liberty Place, 1650 Market Street, Suite 3600</t>
  </si>
  <si>
    <t>Philadelphia, PA 19103, USA</t>
  </si>
  <si>
    <t>GBL/MPO/001 &amp; 001B/2025-26</t>
  </si>
  <si>
    <t>Four Thousand Nine Hundred Twenty Nine Dollars and Forty Cents</t>
  </si>
  <si>
    <t>103 Carnegie Center Dr</t>
  </si>
  <si>
    <t>Princeton, NJ 08540, USA</t>
  </si>
  <si>
    <t>Padmaja Ganapathy</t>
  </si>
  <si>
    <t xml:space="preserve">103 Carnegie Center Dr, Princeton, NJ 08540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</si>
</sst>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43" formatCode="_(* #,##0.00_);_(* \(#,##0.00\);_(* &quot;-&quot;??_);_(@_)"/>
    <numFmt numFmtId="164" formatCode="[$-409]mmmm\ d\,\ yyyy;@"/>
    <numFmt numFmtId="165" formatCode="[$-409]d\-mmm\-yy;@"/>
    <numFmt numFmtId="166" formatCode="#,##0.000"/>
    <numFmt numFmtId="167" formatCode="0.000"/>
    <numFmt numFmtId="168" formatCode="_(* #,##0_);_(* \(#,##0\);_(* &quot;-&quot;??_);_(@_)"/>
  </numFmts>
  <fonts count="23" x14ac:knownFonts="1">
    <font>
      <sz val="11"/>
      <color theme="1"/>
      <name val="Calibri"/>
      <family val="2"/>
      <scheme val="minor"/>
    </font>
    <font>
      <sz val="11"/>
      <color theme="1"/>
      <name val="Calibri"/>
      <family val="2"/>
      <scheme val="minor"/>
    </font>
    <font>
      <sz val="10"/>
      <name val="Arial"/>
      <family val="2"/>
    </font>
    <font>
      <i/>
      <sz val="28"/>
      <name val="Palatino Linotype"/>
      <family val="1"/>
    </font>
    <font>
      <sz val="10"/>
      <name val="Palatino Linotype"/>
      <family val="1"/>
    </font>
    <font>
      <sz val="12"/>
      <name val="Palatino Linotype"/>
      <family val="1"/>
    </font>
    <font>
      <sz val="8"/>
      <name val="Palatino Linotype"/>
      <family val="1"/>
    </font>
    <font>
      <b/>
      <sz val="12"/>
      <name val="Palatino Linotype"/>
      <family val="1"/>
    </font>
    <font>
      <i/>
      <sz val="12"/>
      <name val="Palatino Linotype"/>
      <family val="1"/>
    </font>
    <font>
      <sz val="11"/>
      <name val="Palatino Linotype"/>
      <family val="1"/>
    </font>
    <font>
      <sz val="12"/>
      <color indexed="17"/>
      <name val="Palatino Linotype"/>
      <family val="1"/>
    </font>
    <font>
      <sz val="8"/>
      <color indexed="61"/>
      <name val="Palatino Linotype"/>
      <family val="1"/>
    </font>
    <font>
      <sz val="8"/>
      <color indexed="17"/>
      <name val="Palatino Linotype"/>
      <family val="1"/>
    </font>
    <font>
      <b/>
      <sz val="8"/>
      <color indexed="9"/>
      <name val="Palatino Linotype"/>
      <family val="1"/>
    </font>
    <font>
      <b/>
      <sz val="10"/>
      <name val="Palatino Linotype"/>
      <family val="1"/>
    </font>
    <font>
      <b/>
      <sz val="10"/>
      <color indexed="9"/>
      <name val="Palatino Linotype"/>
      <family val="1"/>
    </font>
    <font>
      <u/>
      <sz val="10"/>
      <name val="Palatino Linotype"/>
      <family val="1"/>
    </font>
    <font>
      <b/>
      <sz val="9"/>
      <name val="Palatino Linotype"/>
      <family val="1"/>
    </font>
    <font>
      <sz val="9"/>
      <color indexed="44"/>
      <name val="Palatino Linotype"/>
      <family val="1"/>
    </font>
    <font>
      <sz val="9"/>
      <name val="Palatino Linotype"/>
      <family val="1"/>
    </font>
    <font>
      <sz val="7.5"/>
      <name val="Palatino Linotype"/>
      <family val="1"/>
    </font>
    <font>
      <sz val="10"/>
      <name val="Calibri"/>
      <family val="2"/>
      <scheme val="minor"/>
    </font>
    <font>
      <b/>
      <sz val="20"/>
      <name val="Palatino Linotype"/>
      <family val="1"/>
    </font>
  </fonts>
  <fills count="6">
    <fill>
      <patternFill patternType="none"/>
    </fill>
    <fill>
      <patternFill patternType="gray125"/>
    </fill>
    <fill>
      <patternFill patternType="solid">
        <fgColor theme="0"/>
        <bgColor indexed="64"/>
      </patternFill>
    </fill>
    <fill>
      <patternFill patternType="solid">
        <fgColor rgb="FF008000"/>
        <bgColor indexed="64"/>
      </patternFill>
    </fill>
    <fill>
      <patternFill patternType="solid">
        <fgColor rgb="FFFFFFFF"/>
        <bgColor rgb="FF000000"/>
      </patternFill>
    </fill>
    <fill>
      <patternFill patternType="solid">
        <fgColor rgb="FFFFFF00"/>
        <bgColor indexed="64"/>
      </patternFill>
    </fill>
  </fills>
  <borders count="2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theme="2"/>
      </right>
      <top style="thin">
        <color indexed="64"/>
      </top>
      <bottom style="thin">
        <color indexed="64"/>
      </bottom>
      <diagonal/>
    </border>
    <border>
      <left style="thin">
        <color theme="2"/>
      </left>
      <right style="thin">
        <color theme="2"/>
      </right>
      <top style="thin">
        <color indexed="64"/>
      </top>
      <bottom style="thin">
        <color indexed="64"/>
      </bottom>
      <diagonal/>
    </border>
    <border>
      <left style="thin">
        <color theme="2"/>
      </left>
      <right style="thin">
        <color indexed="64"/>
      </right>
      <top style="thin">
        <color indexed="64"/>
      </top>
      <bottom style="thin">
        <color indexed="64"/>
      </bottom>
      <diagonal/>
    </border>
    <border>
      <left/>
      <right/>
      <top style="thin">
        <color indexed="64"/>
      </top>
      <bottom style="thin">
        <color theme="2"/>
      </bottom>
      <diagonal/>
    </border>
    <border>
      <left style="thin">
        <color indexed="64"/>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thin">
        <color indexed="64"/>
      </right>
      <top style="thin">
        <color theme="2"/>
      </top>
      <bottom style="thin">
        <color theme="2"/>
      </bottom>
      <diagonal/>
    </border>
    <border>
      <left style="thin">
        <color indexed="64"/>
      </left>
      <right style="thin">
        <color theme="2"/>
      </right>
      <top style="thin">
        <color theme="2"/>
      </top>
      <bottom style="thin">
        <color indexed="64"/>
      </bottom>
      <diagonal/>
    </border>
    <border>
      <left style="thin">
        <color theme="2"/>
      </left>
      <right style="thin">
        <color theme="2"/>
      </right>
      <top style="thin">
        <color theme="2"/>
      </top>
      <bottom style="thin">
        <color indexed="64"/>
      </bottom>
      <diagonal/>
    </border>
    <border>
      <left style="thin">
        <color theme="2"/>
      </left>
      <right style="thin">
        <color indexed="64"/>
      </right>
      <top style="thin">
        <color theme="2"/>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theme="2"/>
      </bottom>
      <diagonal/>
    </border>
    <border>
      <left style="thin">
        <color indexed="64"/>
      </left>
      <right style="thin">
        <color indexed="64"/>
      </right>
      <top/>
      <bottom/>
      <diagonal/>
    </border>
    <border>
      <left style="thin">
        <color indexed="64"/>
      </left>
      <right style="thin">
        <color indexed="64"/>
      </right>
      <top style="thin">
        <color theme="2"/>
      </top>
      <bottom style="thin">
        <color theme="2"/>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2" fillId="0" borderId="0"/>
    <xf numFmtId="44" fontId="2" fillId="0" borderId="0" applyFont="0" applyFill="0" applyBorder="0" applyAlignment="0" applyProtection="0"/>
  </cellStyleXfs>
  <cellXfs count="121">
    <xf numFmtId="0" fontId="0" fillId="0" borderId="0" xfId="0"/>
    <xf numFmtId="0" fontId="4" fillId="2" borderId="0" xfId="4" applyFont="1" applyFill="1"/>
    <xf numFmtId="0" fontId="5" fillId="2" borderId="0" xfId="4" applyFont="1" applyFill="1" applyAlignment="1">
      <alignment horizontal="left"/>
    </xf>
    <xf numFmtId="0" fontId="5" fillId="2" borderId="0" xfId="4" applyFont="1" applyFill="1"/>
    <xf numFmtId="0" fontId="6" fillId="2" borderId="0" xfId="4" applyFont="1" applyFill="1" applyAlignment="1">
      <alignment horizontal="left"/>
    </xf>
    <xf numFmtId="164" fontId="6" fillId="2" borderId="0" xfId="4" applyNumberFormat="1" applyFont="1" applyFill="1" applyAlignment="1">
      <alignment horizontal="left"/>
    </xf>
    <xf numFmtId="0" fontId="5" fillId="2" borderId="0" xfId="4" applyFont="1" applyFill="1" applyAlignment="1">
      <alignment vertical="center"/>
    </xf>
    <xf numFmtId="0" fontId="5" fillId="2" borderId="0" xfId="4" applyFont="1" applyFill="1" applyAlignment="1">
      <alignment horizontal="left" vertical="center"/>
    </xf>
    <xf numFmtId="0" fontId="4" fillId="2" borderId="0" xfId="4" applyFont="1" applyFill="1" applyAlignment="1">
      <alignment vertical="center"/>
    </xf>
    <xf numFmtId="0" fontId="8" fillId="2" borderId="0" xfId="4" applyFont="1" applyFill="1" applyAlignment="1">
      <alignment vertical="center"/>
    </xf>
    <xf numFmtId="0" fontId="9" fillId="2" borderId="0" xfId="4" applyFont="1" applyFill="1" applyAlignment="1">
      <alignment horizontal="left" vertical="center"/>
    </xf>
    <xf numFmtId="0" fontId="6" fillId="2" borderId="0" xfId="4" applyFont="1" applyFill="1" applyAlignment="1">
      <alignment vertical="center"/>
    </xf>
    <xf numFmtId="0" fontId="7" fillId="2" borderId="0" xfId="4" applyFont="1" applyFill="1" applyAlignment="1">
      <alignment horizontal="left" vertical="center"/>
    </xf>
    <xf numFmtId="0" fontId="10" fillId="2" borderId="0" xfId="4" applyFont="1" applyFill="1" applyAlignment="1">
      <alignment vertical="center"/>
    </xf>
    <xf numFmtId="0" fontId="10" fillId="2" borderId="0" xfId="4" applyFont="1" applyFill="1" applyAlignment="1">
      <alignment horizontal="left" vertical="center"/>
    </xf>
    <xf numFmtId="0" fontId="10" fillId="2" borderId="0" xfId="4" applyFont="1" applyFill="1"/>
    <xf numFmtId="0" fontId="10" fillId="2" borderId="0" xfId="4" applyFont="1" applyFill="1" applyAlignment="1">
      <alignment horizontal="left"/>
    </xf>
    <xf numFmtId="0" fontId="10" fillId="2" borderId="0" xfId="4" applyFont="1" applyFill="1" applyAlignment="1">
      <alignment vertical="top"/>
    </xf>
    <xf numFmtId="0" fontId="6" fillId="2" borderId="0" xfId="4" applyFont="1" applyFill="1"/>
    <xf numFmtId="0" fontId="11" fillId="2" borderId="0" xfId="4" applyFont="1" applyFill="1" applyAlignment="1">
      <alignment horizontal="left"/>
    </xf>
    <xf numFmtId="0" fontId="13" fillId="3" borderId="2" xfId="4" applyFont="1" applyFill="1" applyBorder="1" applyAlignment="1">
      <alignment vertical="center"/>
    </xf>
    <xf numFmtId="0" fontId="13" fillId="3" borderId="3" xfId="4" applyFont="1" applyFill="1" applyBorder="1" applyAlignment="1">
      <alignment horizontal="left" vertical="center"/>
    </xf>
    <xf numFmtId="0" fontId="14" fillId="2" borderId="5" xfId="4" applyFont="1" applyFill="1" applyBorder="1" applyAlignment="1">
      <alignment vertical="center" wrapText="1"/>
    </xf>
    <xf numFmtId="165" fontId="14" fillId="2" borderId="6" xfId="4" applyNumberFormat="1" applyFont="1" applyFill="1" applyBorder="1" applyAlignment="1">
      <alignment horizontal="left" vertical="center"/>
    </xf>
    <xf numFmtId="2" fontId="6" fillId="2" borderId="0" xfId="4" applyNumberFormat="1" applyFont="1" applyFill="1" applyAlignment="1">
      <alignment horizontal="left"/>
    </xf>
    <xf numFmtId="0" fontId="6" fillId="2" borderId="0" xfId="4" applyFont="1" applyFill="1" applyAlignment="1">
      <alignment horizontal="left" wrapText="1"/>
    </xf>
    <xf numFmtId="44" fontId="6" fillId="2" borderId="0" xfId="4" applyNumberFormat="1" applyFont="1" applyFill="1" applyAlignment="1">
      <alignment horizontal="right"/>
    </xf>
    <xf numFmtId="0" fontId="15" fillId="3" borderId="1" xfId="4" applyFont="1" applyFill="1" applyBorder="1" applyAlignment="1">
      <alignment horizontal="left" vertical="center"/>
    </xf>
    <xf numFmtId="0" fontId="15" fillId="3" borderId="7" xfId="4" applyFont="1" applyFill="1" applyBorder="1" applyAlignment="1">
      <alignment horizontal="center" vertical="center"/>
    </xf>
    <xf numFmtId="0" fontId="15" fillId="3" borderId="2" xfId="4" applyFont="1" applyFill="1" applyBorder="1" applyAlignment="1">
      <alignment horizontal="center" vertical="center"/>
    </xf>
    <xf numFmtId="0" fontId="15" fillId="3" borderId="3" xfId="4" applyFont="1" applyFill="1" applyBorder="1" applyAlignment="1">
      <alignment horizontal="center" vertical="center"/>
    </xf>
    <xf numFmtId="166" fontId="4" fillId="2" borderId="8" xfId="4" applyNumberFormat="1" applyFont="1" applyFill="1" applyBorder="1" applyAlignment="1">
      <alignment horizontal="left" vertical="center"/>
    </xf>
    <xf numFmtId="0" fontId="4" fillId="2" borderId="9" xfId="4" applyFont="1" applyFill="1" applyBorder="1" applyAlignment="1">
      <alignment vertical="center" wrapText="1"/>
    </xf>
    <xf numFmtId="0" fontId="4" fillId="2" borderId="9" xfId="4" applyFont="1" applyFill="1" applyBorder="1" applyAlignment="1">
      <alignment horizontal="center" vertical="center" wrapText="1"/>
    </xf>
    <xf numFmtId="44" fontId="4" fillId="2" borderId="9" xfId="2" applyFont="1" applyFill="1" applyBorder="1" applyAlignment="1">
      <alignment vertical="center" wrapText="1"/>
    </xf>
    <xf numFmtId="9" fontId="4" fillId="2" borderId="9" xfId="3" applyFont="1" applyFill="1" applyBorder="1" applyAlignment="1">
      <alignment vertical="center"/>
    </xf>
    <xf numFmtId="44" fontId="4" fillId="2" borderId="10" xfId="2" applyFont="1" applyFill="1" applyBorder="1" applyAlignment="1">
      <alignment vertical="center"/>
    </xf>
    <xf numFmtId="2" fontId="4" fillId="2" borderId="8" xfId="4" applyNumberFormat="1" applyFont="1" applyFill="1" applyBorder="1" applyAlignment="1">
      <alignment horizontal="left" vertical="center"/>
    </xf>
    <xf numFmtId="9" fontId="4" fillId="2" borderId="9" xfId="4" applyNumberFormat="1" applyFont="1" applyFill="1" applyBorder="1" applyAlignment="1">
      <alignment vertical="center" wrapText="1"/>
    </xf>
    <xf numFmtId="0" fontId="4" fillId="2" borderId="9" xfId="4" applyFont="1" applyFill="1" applyBorder="1" applyAlignment="1">
      <alignment horizontal="right" vertical="center" wrapText="1"/>
    </xf>
    <xf numFmtId="167" fontId="4" fillId="2" borderId="0" xfId="4" applyNumberFormat="1" applyFont="1" applyFill="1"/>
    <xf numFmtId="0" fontId="4" fillId="2" borderId="9" xfId="4" applyFont="1" applyFill="1" applyBorder="1"/>
    <xf numFmtId="0" fontId="4" fillId="2" borderId="9" xfId="4" applyFont="1" applyFill="1" applyBorder="1" applyAlignment="1">
      <alignment horizontal="center"/>
    </xf>
    <xf numFmtId="44" fontId="4" fillId="2" borderId="9" xfId="2" applyFont="1" applyFill="1" applyBorder="1"/>
    <xf numFmtId="9" fontId="4" fillId="2" borderId="9" xfId="4" applyNumberFormat="1" applyFont="1" applyFill="1" applyBorder="1"/>
    <xf numFmtId="43" fontId="4" fillId="2" borderId="10" xfId="4" applyNumberFormat="1" applyFont="1" applyFill="1" applyBorder="1" applyAlignment="1">
      <alignment vertical="center"/>
    </xf>
    <xf numFmtId="2" fontId="4" fillId="2" borderId="11" xfId="4" applyNumberFormat="1" applyFont="1" applyFill="1" applyBorder="1" applyAlignment="1">
      <alignment horizontal="left" vertical="center"/>
    </xf>
    <xf numFmtId="0" fontId="4" fillId="2" borderId="12" xfId="4" applyFont="1" applyFill="1" applyBorder="1" applyAlignment="1">
      <alignment vertical="center" wrapText="1"/>
    </xf>
    <xf numFmtId="43" fontId="4" fillId="2" borderId="13" xfId="4" applyNumberFormat="1" applyFont="1" applyFill="1" applyBorder="1" applyAlignment="1">
      <alignment vertical="center"/>
    </xf>
    <xf numFmtId="0" fontId="4" fillId="2" borderId="0" xfId="4" applyFont="1" applyFill="1" applyAlignment="1">
      <alignment horizontal="right"/>
    </xf>
    <xf numFmtId="0" fontId="4" fillId="2" borderId="0" xfId="4" applyFont="1" applyFill="1" applyAlignment="1">
      <alignment horizontal="right" vertical="center"/>
    </xf>
    <xf numFmtId="43" fontId="4" fillId="2" borderId="18" xfId="4" applyNumberFormat="1" applyFont="1" applyFill="1" applyBorder="1" applyAlignment="1">
      <alignment horizontal="center" vertical="center"/>
    </xf>
    <xf numFmtId="0" fontId="16" fillId="2" borderId="0" xfId="4" applyFont="1" applyFill="1"/>
    <xf numFmtId="44" fontId="4" fillId="2" borderId="19" xfId="4" applyNumberFormat="1" applyFont="1" applyFill="1" applyBorder="1" applyAlignment="1">
      <alignment vertical="center"/>
    </xf>
    <xf numFmtId="0" fontId="14" fillId="2" borderId="0" xfId="4" applyFont="1" applyFill="1" applyAlignment="1">
      <alignment horizontal="left" vertical="center"/>
    </xf>
    <xf numFmtId="0" fontId="14" fillId="2" borderId="0" xfId="4" applyFont="1" applyFill="1"/>
    <xf numFmtId="0" fontId="17" fillId="2" borderId="0" xfId="4" applyFont="1" applyFill="1" applyAlignment="1">
      <alignment vertical="center"/>
    </xf>
    <xf numFmtId="0" fontId="18" fillId="2" borderId="21" xfId="4" applyFont="1" applyFill="1" applyBorder="1" applyAlignment="1">
      <alignment horizontal="center" vertical="center" wrapText="1"/>
    </xf>
    <xf numFmtId="0" fontId="14" fillId="2" borderId="21" xfId="4" applyFont="1" applyFill="1" applyBorder="1" applyAlignment="1">
      <alignment horizontal="center" vertical="center"/>
    </xf>
    <xf numFmtId="0" fontId="14" fillId="2" borderId="0" xfId="4" applyFont="1" applyFill="1" applyAlignment="1">
      <alignment horizontal="center" vertical="center"/>
    </xf>
    <xf numFmtId="0" fontId="20" fillId="2" borderId="0" xfId="4" applyFont="1" applyFill="1" applyAlignment="1">
      <alignment horizontal="left" wrapText="1"/>
    </xf>
    <xf numFmtId="0" fontId="14" fillId="2" borderId="0" xfId="4" applyFont="1" applyFill="1" applyAlignment="1">
      <alignment horizontal="center" vertical="center" wrapText="1"/>
    </xf>
    <xf numFmtId="0" fontId="22" fillId="2" borderId="0" xfId="4" applyFont="1" applyFill="1" applyAlignment="1">
      <alignment horizontal="left" vertical="center"/>
    </xf>
    <xf numFmtId="0" fontId="0" fillId="2" borderId="0" xfId="0" applyFill="1"/>
    <xf numFmtId="0" fontId="0" fillId="2" borderId="0" xfId="0" applyFill="1" applyAlignment="1">
      <alignment horizontal="right"/>
    </xf>
    <xf numFmtId="15" fontId="0" fillId="2" borderId="0" xfId="0" applyNumberFormat="1" applyFill="1"/>
    <xf numFmtId="0" fontId="15" fillId="3" borderId="7" xfId="4" applyFont="1" applyFill="1" applyBorder="1" applyAlignment="1">
      <alignment vertical="center"/>
    </xf>
    <xf numFmtId="0" fontId="15" fillId="3" borderId="2" xfId="4" applyFont="1" applyFill="1" applyBorder="1" applyAlignment="1">
      <alignment horizontal="left" vertical="center"/>
    </xf>
    <xf numFmtId="0" fontId="15" fillId="3" borderId="3" xfId="4" applyFont="1" applyFill="1" applyBorder="1" applyAlignment="1">
      <alignment horizontal="left" vertical="center"/>
    </xf>
    <xf numFmtId="44" fontId="14" fillId="2" borderId="0" xfId="4" applyNumberFormat="1" applyFont="1" applyFill="1" applyAlignment="1">
      <alignment vertical="center"/>
    </xf>
    <xf numFmtId="43" fontId="4" fillId="2" borderId="0" xfId="4" applyNumberFormat="1" applyFont="1" applyFill="1" applyAlignment="1">
      <alignment horizontal="center" vertical="center"/>
    </xf>
    <xf numFmtId="44" fontId="4" fillId="2" borderId="0" xfId="4" applyNumberFormat="1" applyFont="1" applyFill="1" applyAlignment="1">
      <alignment vertical="center"/>
    </xf>
    <xf numFmtId="44" fontId="4" fillId="2" borderId="0" xfId="4" applyNumberFormat="1" applyFont="1" applyFill="1"/>
    <xf numFmtId="0" fontId="18" fillId="2" borderId="0" xfId="4" applyFont="1" applyFill="1" applyAlignment="1">
      <alignment horizontal="center" vertical="center" wrapText="1"/>
    </xf>
    <xf numFmtId="8" fontId="4" fillId="2" borderId="9" xfId="2" applyNumberFormat="1" applyFont="1" applyFill="1" applyBorder="1" applyAlignment="1">
      <alignment horizontal="center" vertical="center" wrapText="1"/>
    </xf>
    <xf numFmtId="168" fontId="4" fillId="2" borderId="9" xfId="1" applyNumberFormat="1" applyFont="1" applyFill="1" applyBorder="1" applyAlignment="1">
      <alignment vertical="center" wrapText="1"/>
    </xf>
    <xf numFmtId="0" fontId="14" fillId="4" borderId="0" xfId="0" applyFont="1" applyFill="1" applyAlignment="1">
      <alignment horizontal="center" vertical="center"/>
    </xf>
    <xf numFmtId="0" fontId="0" fillId="2" borderId="0" xfId="0" applyFill="1"/>
    <xf numFmtId="0" fontId="14" fillId="2" borderId="0" xfId="4" applyFont="1" applyFill="1" applyAlignment="1">
      <alignment horizontal="center" vertical="center"/>
    </xf>
    <xf numFmtId="0" fontId="19" fillId="2" borderId="0" xfId="4" applyFont="1" applyFill="1" applyAlignment="1">
      <alignment horizontal="center" vertical="center" wrapText="1"/>
    </xf>
    <xf numFmtId="0" fontId="21" fillId="2" borderId="0" xfId="4" applyFont="1" applyFill="1" applyAlignment="1">
      <alignment horizontal="center"/>
    </xf>
    <xf numFmtId="0" fontId="20" fillId="2" borderId="0" xfId="4" applyFont="1" applyFill="1" applyAlignment="1">
      <alignment horizontal="center" vertical="center" wrapText="1"/>
    </xf>
    <xf numFmtId="0" fontId="14" fillId="2" borderId="0" xfId="4" applyFont="1" applyFill="1" applyAlignment="1">
      <alignment horizontal="center" vertical="center" wrapText="1"/>
    </xf>
    <xf numFmtId="0" fontId="4" fillId="2" borderId="0" xfId="4" applyFont="1" applyFill="1" applyAlignment="1">
      <alignment horizontal="right"/>
    </xf>
    <xf numFmtId="0" fontId="13" fillId="3" borderId="1" xfId="4" applyFont="1" applyFill="1" applyBorder="1" applyAlignment="1">
      <alignment horizontal="left" vertical="center"/>
    </xf>
    <xf numFmtId="0" fontId="13" fillId="3" borderId="2" xfId="4" applyFont="1" applyFill="1" applyBorder="1" applyAlignment="1">
      <alignment horizontal="left" vertical="center"/>
    </xf>
    <xf numFmtId="0" fontId="14" fillId="2" borderId="4" xfId="4" applyFont="1" applyFill="1" applyBorder="1" applyAlignment="1">
      <alignment horizontal="left" vertical="center"/>
    </xf>
    <xf numFmtId="0" fontId="14" fillId="2" borderId="5" xfId="4" applyFont="1" applyFill="1" applyBorder="1" applyAlignment="1">
      <alignment horizontal="left" vertical="center"/>
    </xf>
    <xf numFmtId="17" fontId="14" fillId="2" borderId="5" xfId="4" applyNumberFormat="1" applyFont="1" applyFill="1" applyBorder="1" applyAlignment="1">
      <alignment horizontal="left" vertical="center" wrapText="1"/>
    </xf>
    <xf numFmtId="0" fontId="14" fillId="2" borderId="5" xfId="4" applyFont="1" applyFill="1" applyBorder="1" applyAlignment="1">
      <alignment horizontal="left" vertical="center" wrapText="1"/>
    </xf>
    <xf numFmtId="0" fontId="12" fillId="2" borderId="0" xfId="4" applyFont="1" applyFill="1"/>
    <xf numFmtId="0" fontId="3" fillId="2" borderId="0" xfId="4" applyFont="1" applyFill="1" applyAlignment="1">
      <alignment horizontal="center"/>
    </xf>
    <xf numFmtId="0" fontId="7" fillId="2" borderId="0" xfId="4" applyFont="1" applyFill="1" applyAlignment="1">
      <alignment horizontal="left" vertical="center"/>
    </xf>
    <xf numFmtId="0" fontId="5" fillId="2" borderId="0" xfId="4" applyFont="1" applyFill="1" applyAlignment="1">
      <alignment horizontal="left" vertical="center"/>
    </xf>
    <xf numFmtId="0" fontId="22" fillId="2" borderId="0" xfId="4" applyFont="1" applyFill="1" applyAlignment="1">
      <alignment horizontal="left" vertical="center"/>
    </xf>
    <xf numFmtId="0" fontId="14" fillId="2" borderId="2" xfId="4" applyFont="1" applyFill="1" applyBorder="1" applyAlignment="1">
      <alignment horizontal="center" vertical="center"/>
    </xf>
    <xf numFmtId="0" fontId="19" fillId="2" borderId="1" xfId="4" applyFont="1" applyFill="1" applyBorder="1" applyAlignment="1">
      <alignment horizontal="center" vertical="center" wrapText="1"/>
    </xf>
    <xf numFmtId="0" fontId="19" fillId="2" borderId="2" xfId="4" applyFont="1" applyFill="1" applyBorder="1" applyAlignment="1">
      <alignment horizontal="center" vertical="center" wrapText="1"/>
    </xf>
    <xf numFmtId="0" fontId="19" fillId="2" borderId="22" xfId="4" applyFont="1" applyFill="1" applyBorder="1" applyAlignment="1">
      <alignment horizontal="center" vertical="center" wrapText="1"/>
    </xf>
    <xf numFmtId="0" fontId="19" fillId="2" borderId="23" xfId="4" applyFont="1" applyFill="1" applyBorder="1" applyAlignment="1">
      <alignment horizontal="center" vertical="center" wrapText="1"/>
    </xf>
    <xf numFmtId="0" fontId="19" fillId="2" borderId="21" xfId="4" applyFont="1" applyFill="1" applyBorder="1" applyAlignment="1">
      <alignment horizontal="center" vertical="center" wrapText="1"/>
    </xf>
    <xf numFmtId="0" fontId="19" fillId="2" borderId="24" xfId="4" applyFont="1" applyFill="1" applyBorder="1" applyAlignment="1">
      <alignment horizontal="center" vertical="center" wrapText="1"/>
    </xf>
    <xf numFmtId="0" fontId="11" fillId="2" borderId="0" xfId="4" applyFont="1" applyFill="1" applyAlignment="1">
      <alignment horizontal="left"/>
    </xf>
    <xf numFmtId="164" fontId="5" fillId="5" borderId="0" xfId="4" applyNumberFormat="1" applyFont="1" applyFill="1" applyAlignment="1">
      <alignment horizontal="left" vertical="center"/>
    </xf>
    <xf numFmtId="0" fontId="9" fillId="5" borderId="0" xfId="4" applyFont="1" applyFill="1" applyAlignment="1">
      <alignment horizontal="left" vertical="center"/>
    </xf>
    <xf numFmtId="166" fontId="4" fillId="5" borderId="8" xfId="4" applyNumberFormat="1" applyFont="1" applyFill="1" applyBorder="1" applyAlignment="1">
      <alignment horizontal="left" vertical="center"/>
    </xf>
    <xf numFmtId="0" fontId="19" fillId="5" borderId="9" xfId="4" applyFont="1" applyFill="1" applyBorder="1" applyAlignment="1">
      <alignment vertical="center" wrapText="1"/>
    </xf>
    <xf numFmtId="1" fontId="4" fillId="5" borderId="9" xfId="4" applyNumberFormat="1" applyFont="1" applyFill="1" applyBorder="1" applyAlignment="1">
      <alignment horizontal="center" vertical="center" wrapText="1"/>
    </xf>
    <xf numFmtId="8" fontId="4" fillId="5" borderId="9" xfId="2" applyNumberFormat="1" applyFont="1" applyFill="1" applyBorder="1" applyAlignment="1">
      <alignment vertical="center" wrapText="1"/>
    </xf>
    <xf numFmtId="9" fontId="4" fillId="5" borderId="9" xfId="3" applyFont="1" applyFill="1" applyBorder="1" applyAlignment="1">
      <alignment vertical="center"/>
    </xf>
    <xf numFmtId="44" fontId="4" fillId="5" borderId="10" xfId="2" applyFont="1" applyFill="1" applyBorder="1" applyAlignment="1">
      <alignment vertical="center"/>
    </xf>
    <xf numFmtId="0" fontId="4" fillId="5" borderId="14" xfId="4" applyFont="1" applyFill="1" applyBorder="1" applyAlignment="1">
      <alignment horizontal="right"/>
    </xf>
    <xf numFmtId="0" fontId="4" fillId="5" borderId="15" xfId="4" applyFont="1" applyFill="1" applyBorder="1" applyAlignment="1">
      <alignment horizontal="right"/>
    </xf>
    <xf numFmtId="0" fontId="4" fillId="5" borderId="16" xfId="4" applyFont="1" applyFill="1" applyBorder="1" applyAlignment="1">
      <alignment horizontal="right"/>
    </xf>
    <xf numFmtId="44" fontId="14" fillId="5" borderId="17" xfId="4" applyNumberFormat="1" applyFont="1" applyFill="1" applyBorder="1" applyAlignment="1">
      <alignment vertical="center"/>
    </xf>
    <xf numFmtId="44" fontId="4" fillId="5" borderId="20" xfId="4" applyNumberFormat="1" applyFont="1" applyFill="1" applyBorder="1"/>
    <xf numFmtId="166" fontId="7" fillId="5" borderId="0" xfId="4" applyNumberFormat="1" applyFont="1" applyFill="1" applyAlignment="1">
      <alignment horizontal="left" vertical="center"/>
    </xf>
    <xf numFmtId="17" fontId="14" fillId="5" borderId="5" xfId="4" applyNumberFormat="1" applyFont="1" applyFill="1" applyBorder="1" applyAlignment="1">
      <alignment horizontal="left" vertical="center" wrapText="1"/>
    </xf>
    <xf numFmtId="0" fontId="14" fillId="5" borderId="5" xfId="4" applyFont="1" applyFill="1" applyBorder="1" applyAlignment="1">
      <alignment horizontal="left" vertical="center" wrapText="1"/>
    </xf>
    <xf numFmtId="44" fontId="4" fillId="2" borderId="9" xfId="4" applyNumberFormat="1" applyFont="1" applyFill="1" applyBorder="1" applyAlignment="1">
      <alignment vertical="center" wrapText="1"/>
    </xf>
    <xf numFmtId="15" fontId="4" fillId="5" borderId="10" xfId="2" applyNumberFormat="1" applyFont="1" applyFill="1" applyBorder="1" applyAlignment="1">
      <alignment vertical="center"/>
    </xf>
  </cellXfs>
  <cellStyles count="6">
    <cellStyle name="Comma" xfId="1" builtinId="3"/>
    <cellStyle name="Currency" xfId="2" builtinId="4"/>
    <cellStyle name="Currency 2" xfId="5" xr:uid="{00000000-0005-0000-0000-000002000000}"/>
    <cellStyle name="Normal" xfId="0" builtinId="0"/>
    <cellStyle name="Normal 2" xfId="4"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2</xdr:col>
      <xdr:colOff>352425</xdr:colOff>
      <xdr:row>14</xdr:row>
      <xdr:rowOff>0</xdr:rowOff>
    </xdr:from>
    <xdr:to>
      <xdr:col>4</xdr:col>
      <xdr:colOff>171450</xdr:colOff>
      <xdr:row>14</xdr:row>
      <xdr:rowOff>0</xdr:rowOff>
    </xdr:to>
    <xdr:sp macro="" textlink="">
      <xdr:nvSpPr>
        <xdr:cNvPr id="2" name="Text Box 5">
          <a:extLst>
            <a:ext uri="{FF2B5EF4-FFF2-40B4-BE49-F238E27FC236}">
              <a16:creationId xmlns:a16="http://schemas.microsoft.com/office/drawing/2014/main" id="{00000000-0008-0000-0000-000002000000}"/>
            </a:ext>
          </a:extLst>
        </xdr:cNvPr>
        <xdr:cNvSpPr txBox="1">
          <a:spLocks noChangeArrowheads="1"/>
        </xdr:cNvSpPr>
      </xdr:nvSpPr>
      <xdr:spPr bwMode="auto">
        <a:xfrm>
          <a:off x="2486025" y="2724150"/>
          <a:ext cx="1695450" cy="0"/>
        </a:xfrm>
        <a:prstGeom prst="rect">
          <a:avLst/>
        </a:prstGeom>
        <a:solidFill>
          <a:srgbClr xmlns:mc="http://schemas.openxmlformats.org/markup-compatibility/2006" xmlns:a14="http://schemas.microsoft.com/office/drawing/2010/main" val="FFFFFF" mc:Ignorable="a14" a14:legacySpreadsheetColorIndex="65">
            <a:alpha val="0"/>
          </a:srgb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167020</xdr:colOff>
      <xdr:row>5</xdr:row>
      <xdr:rowOff>133351</xdr:rowOff>
    </xdr:from>
    <xdr:to>
      <xdr:col>5</xdr:col>
      <xdr:colOff>857250</xdr:colOff>
      <xdr:row>12</xdr:row>
      <xdr:rowOff>19051</xdr:rowOff>
    </xdr:to>
    <xdr:pic>
      <xdr:nvPicPr>
        <xdr:cNvPr id="3" name="Picture 20" descr="Godavari Inc">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1445" y="1314451"/>
          <a:ext cx="69023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352425</xdr:colOff>
      <xdr:row>64</xdr:row>
      <xdr:rowOff>0</xdr:rowOff>
    </xdr:from>
    <xdr:to>
      <xdr:col>4</xdr:col>
      <xdr:colOff>171450</xdr:colOff>
      <xdr:row>64</xdr:row>
      <xdr:rowOff>0</xdr:rowOff>
    </xdr:to>
    <xdr:sp macro="" textlink="">
      <xdr:nvSpPr>
        <xdr:cNvPr id="4" name="Text Box 5">
          <a:extLst>
            <a:ext uri="{FF2B5EF4-FFF2-40B4-BE49-F238E27FC236}">
              <a16:creationId xmlns:a16="http://schemas.microsoft.com/office/drawing/2014/main" id="{00000000-0008-0000-0000-000004000000}"/>
            </a:ext>
          </a:extLst>
        </xdr:cNvPr>
        <xdr:cNvSpPr txBox="1">
          <a:spLocks noChangeArrowheads="1"/>
        </xdr:cNvSpPr>
      </xdr:nvSpPr>
      <xdr:spPr bwMode="auto">
        <a:xfrm>
          <a:off x="2486025" y="13239750"/>
          <a:ext cx="1695450" cy="0"/>
        </a:xfrm>
        <a:prstGeom prst="rect">
          <a:avLst/>
        </a:prstGeom>
        <a:solidFill>
          <a:srgbClr xmlns:mc="http://schemas.openxmlformats.org/markup-compatibility/2006" xmlns:a14="http://schemas.microsoft.com/office/drawing/2010/main" val="FFFFFF" mc:Ignorable="a14" a14:legacySpreadsheetColorIndex="65">
            <a:alpha val="0"/>
          </a:srgbClr>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5</xdr:col>
      <xdr:colOff>167020</xdr:colOff>
      <xdr:row>55</xdr:row>
      <xdr:rowOff>133351</xdr:rowOff>
    </xdr:from>
    <xdr:to>
      <xdr:col>5</xdr:col>
      <xdr:colOff>857250</xdr:colOff>
      <xdr:row>60</xdr:row>
      <xdr:rowOff>76202</xdr:rowOff>
    </xdr:to>
    <xdr:pic>
      <xdr:nvPicPr>
        <xdr:cNvPr id="5" name="Picture 20" descr="Godavari Inc">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1445" y="11172826"/>
          <a:ext cx="69023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39"/>
  <sheetViews>
    <sheetView tabSelected="1" view="pageBreakPreview" topLeftCell="A82" zoomScale="168" zoomScaleNormal="100" zoomScaleSheetLayoutView="100" workbookViewId="0">
      <selection activeCell="C98" sqref="C98"/>
    </sheetView>
  </sheetViews>
  <sheetFormatPr baseColWidth="10" defaultColWidth="9.1640625" defaultRowHeight="14" x14ac:dyDescent="0.2"/>
  <cols>
    <col min="1" max="1" width="18.33203125" style="1" customWidth="1"/>
    <col min="2" max="2" width="17.6640625" style="1" customWidth="1"/>
    <col min="3" max="3" width="14.5" style="1" customWidth="1"/>
    <col min="4" max="5" width="13.6640625" style="1" customWidth="1"/>
    <col min="6" max="6" width="20.5" style="1" bestFit="1" customWidth="1"/>
    <col min="7" max="7" width="14.33203125" style="1" customWidth="1"/>
    <col min="8" max="16384" width="9.1640625" style="1"/>
  </cols>
  <sheetData>
    <row r="1" spans="1:9" ht="39" x14ac:dyDescent="0.5">
      <c r="A1" s="91" t="s">
        <v>0</v>
      </c>
      <c r="B1" s="91"/>
      <c r="C1" s="91"/>
      <c r="D1" s="91"/>
      <c r="E1" s="91"/>
      <c r="F1" s="91"/>
    </row>
    <row r="2" spans="1:9" ht="5.25" customHeight="1" x14ac:dyDescent="0.3">
      <c r="A2" s="2"/>
      <c r="B2" s="2"/>
      <c r="C2" s="2"/>
      <c r="D2" s="3"/>
      <c r="E2" s="4"/>
      <c r="F2" s="5"/>
    </row>
    <row r="3" spans="1:9" s="8" customFormat="1" ht="15" customHeight="1" x14ac:dyDescent="0.2">
      <c r="A3" s="92" t="s">
        <v>1</v>
      </c>
      <c r="B3" s="92"/>
      <c r="C3" s="92"/>
      <c r="D3" s="6"/>
      <c r="E3" s="7" t="s">
        <v>2</v>
      </c>
      <c r="F3" s="103">
        <v>45777</v>
      </c>
    </row>
    <row r="4" spans="1:9" s="8" customFormat="1" ht="14" customHeight="1" x14ac:dyDescent="0.2">
      <c r="A4" s="6" t="s">
        <v>48</v>
      </c>
      <c r="B4" s="6"/>
      <c r="C4" s="6"/>
      <c r="D4" s="9"/>
      <c r="E4" s="7" t="s">
        <v>3</v>
      </c>
      <c r="F4" s="104" t="s">
        <v>46</v>
      </c>
    </row>
    <row r="5" spans="1:9" s="11" customFormat="1" ht="19" x14ac:dyDescent="0.2">
      <c r="A5" s="6" t="s">
        <v>49</v>
      </c>
      <c r="B5" s="6"/>
      <c r="C5" s="6"/>
      <c r="D5" s="6"/>
      <c r="E5" s="7"/>
      <c r="F5" s="7"/>
    </row>
    <row r="6" spans="1:9" s="11" customFormat="1" ht="14" customHeight="1" x14ac:dyDescent="0.2">
      <c r="A6" s="6"/>
      <c r="B6" s="6"/>
      <c r="C6" s="6"/>
      <c r="D6" s="6"/>
      <c r="E6" s="6"/>
      <c r="F6" s="6"/>
    </row>
    <row r="7" spans="1:9" s="11" customFormat="1" ht="14" customHeight="1" x14ac:dyDescent="0.2">
      <c r="A7" s="6"/>
      <c r="B7" s="7"/>
      <c r="C7" s="6"/>
      <c r="D7" s="6"/>
      <c r="E7" s="6"/>
      <c r="F7" s="6"/>
    </row>
    <row r="8" spans="1:9" s="11" customFormat="1" ht="14" customHeight="1" x14ac:dyDescent="0.2">
      <c r="A8" s="6"/>
      <c r="B8" s="6"/>
      <c r="C8" s="6"/>
      <c r="D8" s="6"/>
      <c r="E8" s="6"/>
      <c r="F8" s="6"/>
    </row>
    <row r="9" spans="1:9" s="11" customFormat="1" ht="14" customHeight="1" x14ac:dyDescent="0.2">
      <c r="A9" s="7" t="s">
        <v>4</v>
      </c>
      <c r="B9" s="93" t="s">
        <v>5</v>
      </c>
      <c r="C9" s="93"/>
      <c r="D9" s="6"/>
      <c r="E9" s="6"/>
      <c r="F9" s="6"/>
    </row>
    <row r="10" spans="1:9" s="11" customFormat="1" ht="14" customHeight="1" x14ac:dyDescent="0.2">
      <c r="A10" s="12"/>
      <c r="B10" s="93" t="s">
        <v>6</v>
      </c>
      <c r="C10" s="93"/>
      <c r="D10" s="93"/>
      <c r="E10" s="6"/>
      <c r="F10" s="6"/>
    </row>
    <row r="11" spans="1:9" s="11" customFormat="1" ht="14" customHeight="1" x14ac:dyDescent="0.2">
      <c r="A11" s="6"/>
      <c r="B11" s="7" t="s">
        <v>7</v>
      </c>
      <c r="C11" s="7"/>
      <c r="D11" s="6"/>
      <c r="E11" s="6"/>
      <c r="F11" s="6"/>
    </row>
    <row r="12" spans="1:9" s="11" customFormat="1" ht="14" customHeight="1" x14ac:dyDescent="0.15">
      <c r="A12" s="13"/>
      <c r="B12" s="7" t="s">
        <v>8</v>
      </c>
      <c r="C12" s="14"/>
      <c r="D12" s="14"/>
      <c r="E12" s="13"/>
      <c r="F12" s="13"/>
      <c r="H12" s="102"/>
      <c r="I12" s="102"/>
    </row>
    <row r="13" spans="1:9" s="18" customFormat="1" ht="14" customHeight="1" x14ac:dyDescent="0.3">
      <c r="A13" s="15"/>
      <c r="B13" s="16"/>
      <c r="C13" s="16"/>
      <c r="D13" s="15"/>
      <c r="E13" s="17"/>
      <c r="F13" s="17"/>
      <c r="H13" s="19"/>
      <c r="I13" s="19"/>
    </row>
    <row r="14" spans="1:9" s="18" customFormat="1" ht="14" customHeight="1" x14ac:dyDescent="0.15">
      <c r="A14" s="90"/>
      <c r="B14" s="90"/>
      <c r="C14" s="90"/>
      <c r="D14" s="90"/>
      <c r="E14" s="90"/>
      <c r="F14" s="90"/>
      <c r="H14" s="19"/>
      <c r="I14" s="19"/>
    </row>
    <row r="15" spans="1:9" ht="15" customHeight="1" x14ac:dyDescent="0.2">
      <c r="A15" s="84" t="s">
        <v>9</v>
      </c>
      <c r="B15" s="85"/>
      <c r="C15" s="85"/>
      <c r="D15" s="85"/>
      <c r="E15" s="20"/>
      <c r="F15" s="21" t="s">
        <v>10</v>
      </c>
    </row>
    <row r="16" spans="1:9" ht="15" customHeight="1" x14ac:dyDescent="0.2">
      <c r="A16" s="86" t="s">
        <v>50</v>
      </c>
      <c r="B16" s="87"/>
      <c r="C16" s="88"/>
      <c r="D16" s="89"/>
      <c r="E16" s="22"/>
      <c r="F16" s="23" t="s">
        <v>40</v>
      </c>
    </row>
    <row r="17" spans="1:10" ht="15" customHeight="1" x14ac:dyDescent="0.2">
      <c r="A17" s="24"/>
      <c r="B17" s="24"/>
      <c r="C17" s="25"/>
      <c r="D17" s="25"/>
      <c r="E17" s="25"/>
      <c r="F17" s="26"/>
    </row>
    <row r="18" spans="1:10" ht="15" customHeight="1" x14ac:dyDescent="0.2">
      <c r="A18" s="27" t="s">
        <v>11</v>
      </c>
      <c r="B18" s="28" t="s">
        <v>12</v>
      </c>
      <c r="C18" s="28" t="s">
        <v>13</v>
      </c>
      <c r="D18" s="28" t="s">
        <v>14</v>
      </c>
      <c r="E18" s="29" t="s">
        <v>15</v>
      </c>
      <c r="F18" s="30" t="s">
        <v>16</v>
      </c>
      <c r="G18" s="30" t="s">
        <v>17</v>
      </c>
    </row>
    <row r="19" spans="1:10" ht="28" x14ac:dyDescent="0.2">
      <c r="A19" s="105" t="s">
        <v>43</v>
      </c>
      <c r="B19" s="106" t="str">
        <f>F4</f>
        <v>GBL/MPO/001 &amp; 001B/2025-26</v>
      </c>
      <c r="C19" s="107">
        <v>59.84</v>
      </c>
      <c r="D19" s="108">
        <f>F19/E19</f>
        <v>164313.33333333331</v>
      </c>
      <c r="E19" s="109">
        <v>0.03</v>
      </c>
      <c r="F19" s="110">
        <v>4929.3999999999996</v>
      </c>
      <c r="G19" s="110" t="s">
        <v>31</v>
      </c>
    </row>
    <row r="20" spans="1:10" ht="15" customHeight="1" x14ac:dyDescent="0.2">
      <c r="A20" s="37"/>
      <c r="B20" s="32"/>
      <c r="C20" s="33"/>
      <c r="D20" s="34"/>
      <c r="E20" s="38"/>
      <c r="F20" s="36"/>
      <c r="G20" s="36"/>
      <c r="J20" s="11"/>
    </row>
    <row r="21" spans="1:10" ht="15" customHeight="1" x14ac:dyDescent="0.2">
      <c r="A21" s="37"/>
      <c r="B21" s="39"/>
      <c r="C21" s="33"/>
      <c r="D21" s="34"/>
      <c r="E21" s="38"/>
      <c r="F21" s="36"/>
      <c r="G21" s="36"/>
      <c r="H21" s="40"/>
    </row>
    <row r="22" spans="1:10" ht="15" customHeight="1" x14ac:dyDescent="0.2">
      <c r="A22" s="37"/>
      <c r="B22" s="41"/>
      <c r="C22" s="42"/>
      <c r="D22" s="43"/>
      <c r="E22" s="44"/>
      <c r="F22" s="36"/>
      <c r="G22" s="45"/>
    </row>
    <row r="23" spans="1:10" ht="15" customHeight="1" x14ac:dyDescent="0.2">
      <c r="A23" s="37"/>
      <c r="B23" s="41"/>
      <c r="C23" s="41"/>
      <c r="D23" s="41"/>
      <c r="E23" s="41"/>
      <c r="F23" s="45"/>
      <c r="G23" s="45"/>
    </row>
    <row r="24" spans="1:10" ht="15" customHeight="1" x14ac:dyDescent="0.2">
      <c r="A24" s="37"/>
      <c r="B24" s="32"/>
      <c r="C24" s="32"/>
      <c r="D24" s="32"/>
      <c r="E24" s="32"/>
      <c r="F24" s="45"/>
      <c r="G24" s="45"/>
    </row>
    <row r="25" spans="1:10" ht="15" customHeight="1" x14ac:dyDescent="0.2">
      <c r="A25" s="37"/>
      <c r="B25" s="41"/>
      <c r="C25" s="41"/>
      <c r="D25" s="41"/>
      <c r="E25" s="41"/>
      <c r="F25" s="45"/>
      <c r="G25" s="45"/>
    </row>
    <row r="26" spans="1:10" ht="15" customHeight="1" x14ac:dyDescent="0.2">
      <c r="A26" s="46"/>
      <c r="B26" s="47"/>
      <c r="C26" s="47"/>
      <c r="D26" s="47"/>
      <c r="E26" s="47"/>
      <c r="F26" s="48"/>
      <c r="G26" s="48"/>
    </row>
    <row r="27" spans="1:10" ht="15" customHeight="1" x14ac:dyDescent="0.2">
      <c r="A27" s="111" t="s">
        <v>47</v>
      </c>
      <c r="B27" s="112"/>
      <c r="C27" s="112"/>
      <c r="D27" s="112"/>
      <c r="E27" s="113"/>
      <c r="F27" s="114">
        <f>IF(SUM(F19:F26)&gt;0,SUM(F19:F26),"")</f>
        <v>4929.3999999999996</v>
      </c>
    </row>
    <row r="28" spans="1:10" ht="15" customHeight="1" x14ac:dyDescent="0.2">
      <c r="A28" s="49"/>
      <c r="B28" s="49"/>
      <c r="C28" s="49"/>
      <c r="D28" s="49"/>
      <c r="E28" s="50"/>
      <c r="F28" s="51"/>
    </row>
    <row r="29" spans="1:10" ht="15" customHeight="1" x14ac:dyDescent="0.2">
      <c r="A29" s="52" t="s">
        <v>18</v>
      </c>
      <c r="E29" s="50"/>
      <c r="F29" s="53"/>
    </row>
    <row r="30" spans="1:10" ht="15" customHeight="1" x14ac:dyDescent="0.2">
      <c r="A30" s="54" t="s">
        <v>32</v>
      </c>
      <c r="E30" s="49" t="s">
        <v>19</v>
      </c>
      <c r="F30" s="115">
        <f>F27</f>
        <v>4929.3999999999996</v>
      </c>
    </row>
    <row r="31" spans="1:10" ht="15" customHeight="1" x14ac:dyDescent="0.2">
      <c r="A31" s="54" t="s">
        <v>20</v>
      </c>
    </row>
    <row r="32" spans="1:10" ht="15" customHeight="1" x14ac:dyDescent="0.2">
      <c r="A32" s="55" t="s">
        <v>33</v>
      </c>
    </row>
    <row r="33" spans="1:6" ht="15" customHeight="1" x14ac:dyDescent="0.2">
      <c r="A33" s="55" t="s">
        <v>34</v>
      </c>
    </row>
    <row r="34" spans="1:6" ht="15" customHeight="1" x14ac:dyDescent="0.2">
      <c r="A34" s="55" t="s">
        <v>37</v>
      </c>
    </row>
    <row r="35" spans="1:6" ht="15" customHeight="1" x14ac:dyDescent="0.2">
      <c r="A35" s="56" t="s">
        <v>35</v>
      </c>
      <c r="D35" s="57"/>
      <c r="E35" s="57"/>
      <c r="F35" s="57"/>
    </row>
    <row r="36" spans="1:6" ht="15" customHeight="1" x14ac:dyDescent="0.2">
      <c r="A36" s="55" t="s">
        <v>36</v>
      </c>
      <c r="D36" s="95" t="s">
        <v>21</v>
      </c>
      <c r="E36" s="95"/>
      <c r="F36" s="95"/>
    </row>
    <row r="37" spans="1:6" ht="15" customHeight="1" x14ac:dyDescent="0.2">
      <c r="A37" s="55" t="s">
        <v>22</v>
      </c>
      <c r="D37" s="58"/>
      <c r="E37" s="58"/>
      <c r="F37" s="59"/>
    </row>
    <row r="38" spans="1:6" ht="15" customHeight="1" x14ac:dyDescent="0.2">
      <c r="B38" s="96" t="s">
        <v>23</v>
      </c>
      <c r="C38" s="97"/>
      <c r="D38" s="79"/>
      <c r="E38" s="98"/>
    </row>
    <row r="39" spans="1:6" ht="15" customHeight="1" x14ac:dyDescent="0.2">
      <c r="B39" s="99" t="s">
        <v>24</v>
      </c>
      <c r="C39" s="100"/>
      <c r="D39" s="100"/>
      <c r="E39" s="101"/>
    </row>
    <row r="40" spans="1:6" ht="15" customHeight="1" x14ac:dyDescent="0.2">
      <c r="B40" s="60"/>
      <c r="C40" s="60"/>
      <c r="D40" s="60"/>
      <c r="E40" s="60"/>
      <c r="F40" s="60"/>
    </row>
    <row r="41" spans="1:6" ht="15" customHeight="1" x14ac:dyDescent="0.2">
      <c r="A41" s="80" t="s">
        <v>25</v>
      </c>
      <c r="B41" s="80"/>
      <c r="C41" s="80"/>
      <c r="D41" s="80"/>
      <c r="E41" s="80"/>
      <c r="F41" s="80"/>
    </row>
    <row r="42" spans="1:6" ht="15" customHeight="1" x14ac:dyDescent="0.2">
      <c r="A42" s="81" t="s">
        <v>26</v>
      </c>
      <c r="B42" s="81"/>
      <c r="C42" s="81"/>
      <c r="D42" s="81"/>
      <c r="E42" s="81"/>
      <c r="F42" s="81"/>
    </row>
    <row r="43" spans="1:6" ht="15" customHeight="1" x14ac:dyDescent="0.2">
      <c r="A43" s="81"/>
      <c r="B43" s="81"/>
      <c r="C43" s="81"/>
      <c r="D43" s="81"/>
      <c r="E43" s="81"/>
      <c r="F43" s="81"/>
    </row>
    <row r="44" spans="1:6" x14ac:dyDescent="0.2">
      <c r="A44" s="81"/>
      <c r="B44" s="81"/>
      <c r="C44" s="81"/>
      <c r="D44" s="81"/>
      <c r="E44" s="81"/>
      <c r="F44" s="81"/>
    </row>
    <row r="45" spans="1:6" x14ac:dyDescent="0.2">
      <c r="A45" s="81"/>
      <c r="B45" s="81"/>
      <c r="C45" s="81"/>
      <c r="D45" s="81"/>
      <c r="E45" s="81"/>
      <c r="F45" s="81"/>
    </row>
    <row r="46" spans="1:6" x14ac:dyDescent="0.2">
      <c r="A46" s="81"/>
      <c r="B46" s="81"/>
      <c r="C46" s="81"/>
      <c r="D46" s="81"/>
      <c r="E46" s="81"/>
      <c r="F46" s="81"/>
    </row>
    <row r="47" spans="1:6" ht="15" customHeight="1" x14ac:dyDescent="0.2">
      <c r="A47" s="81"/>
      <c r="B47" s="81"/>
      <c r="C47" s="81"/>
      <c r="D47" s="81"/>
      <c r="E47" s="81"/>
      <c r="F47" s="81"/>
    </row>
    <row r="48" spans="1:6" ht="15" customHeight="1" x14ac:dyDescent="0.2">
      <c r="A48" s="81"/>
      <c r="B48" s="81"/>
      <c r="C48" s="81"/>
      <c r="D48" s="81"/>
      <c r="E48" s="81"/>
      <c r="F48" s="81"/>
    </row>
    <row r="49" spans="1:12" ht="15" customHeight="1" x14ac:dyDescent="0.2">
      <c r="B49" s="61"/>
      <c r="C49" s="82" t="s">
        <v>1</v>
      </c>
      <c r="D49" s="82"/>
      <c r="E49" s="61"/>
      <c r="F49" s="61"/>
    </row>
    <row r="50" spans="1:12" s="11" customFormat="1" ht="15" customHeight="1" x14ac:dyDescent="0.2">
      <c r="A50" s="76" t="s">
        <v>51</v>
      </c>
      <c r="B50" s="76"/>
      <c r="C50" s="76"/>
      <c r="D50" s="76"/>
      <c r="E50" s="76"/>
      <c r="F50" s="76"/>
    </row>
    <row r="51" spans="1:12" ht="39" x14ac:dyDescent="0.5">
      <c r="A51" s="91" t="s">
        <v>27</v>
      </c>
      <c r="B51" s="91"/>
      <c r="C51" s="91"/>
      <c r="D51" s="91"/>
      <c r="E51" s="91"/>
      <c r="F51" s="91"/>
    </row>
    <row r="52" spans="1:12" ht="19" x14ac:dyDescent="0.3">
      <c r="A52" s="2"/>
      <c r="B52" s="2"/>
      <c r="C52" s="2"/>
      <c r="D52" s="3"/>
      <c r="E52" s="4"/>
      <c r="F52" s="5"/>
    </row>
    <row r="53" spans="1:12" ht="19" x14ac:dyDescent="0.2">
      <c r="A53" s="92" t="s">
        <v>1</v>
      </c>
      <c r="B53" s="92"/>
      <c r="C53" s="92"/>
      <c r="D53" s="6"/>
      <c r="E53" s="7" t="s">
        <v>2</v>
      </c>
      <c r="F53" s="103">
        <f>F3</f>
        <v>45777</v>
      </c>
    </row>
    <row r="54" spans="1:12" ht="19" x14ac:dyDescent="0.2">
      <c r="A54" s="6" t="s">
        <v>44</v>
      </c>
      <c r="B54" s="6"/>
      <c r="C54" s="6"/>
      <c r="D54" s="9"/>
      <c r="E54" s="7"/>
      <c r="F54" s="10" t="s">
        <v>42</v>
      </c>
    </row>
    <row r="55" spans="1:12" ht="19" x14ac:dyDescent="0.2">
      <c r="A55" s="6" t="s">
        <v>45</v>
      </c>
      <c r="B55" s="6"/>
      <c r="C55" s="6"/>
      <c r="D55" s="6"/>
      <c r="E55" s="7"/>
      <c r="F55" s="7"/>
    </row>
    <row r="56" spans="1:12" ht="19" x14ac:dyDescent="0.2">
      <c r="A56" s="6"/>
      <c r="B56" s="6"/>
      <c r="C56" s="6"/>
      <c r="D56" s="6"/>
      <c r="E56" s="6"/>
      <c r="F56" s="6"/>
    </row>
    <row r="57" spans="1:12" ht="19" x14ac:dyDescent="0.2">
      <c r="A57" s="6"/>
      <c r="B57" s="7"/>
      <c r="C57" s="6"/>
      <c r="D57" s="6"/>
      <c r="E57" s="6"/>
      <c r="F57" s="6"/>
    </row>
    <row r="58" spans="1:12" ht="19" x14ac:dyDescent="0.2">
      <c r="A58" s="6"/>
      <c r="B58" s="6"/>
      <c r="C58" s="6"/>
      <c r="D58" s="6"/>
      <c r="E58" s="6"/>
      <c r="F58" s="6"/>
    </row>
    <row r="59" spans="1:12" ht="19" x14ac:dyDescent="0.2">
      <c r="A59" s="7" t="s">
        <v>4</v>
      </c>
      <c r="B59" s="93"/>
      <c r="C59" s="93"/>
      <c r="D59" s="6"/>
      <c r="E59" s="6"/>
      <c r="F59" s="6"/>
    </row>
    <row r="60" spans="1:12" ht="19" x14ac:dyDescent="0.2">
      <c r="A60" s="116" t="str">
        <f>A19</f>
        <v>IFF Chemical Holding</v>
      </c>
      <c r="B60" s="93"/>
      <c r="C60" s="93"/>
      <c r="D60" s="93"/>
      <c r="E60" s="6"/>
      <c r="F60" s="6"/>
    </row>
    <row r="61" spans="1:12" ht="19" x14ac:dyDescent="0.2">
      <c r="A61" s="6"/>
      <c r="B61" s="7"/>
      <c r="C61" s="7"/>
      <c r="D61" s="6"/>
      <c r="E61" s="6"/>
      <c r="F61" s="6"/>
      <c r="J61" s="94"/>
      <c r="K61" s="94"/>
      <c r="L61" s="94"/>
    </row>
    <row r="62" spans="1:12" ht="19" x14ac:dyDescent="0.2">
      <c r="A62" s="13"/>
      <c r="B62" s="7"/>
      <c r="C62" s="14"/>
      <c r="D62" s="14"/>
      <c r="E62" s="13"/>
      <c r="F62" s="13"/>
      <c r="J62" s="94"/>
      <c r="K62" s="94"/>
      <c r="L62" s="94"/>
    </row>
    <row r="63" spans="1:12" ht="19" x14ac:dyDescent="0.3">
      <c r="A63" s="15"/>
      <c r="B63" s="16"/>
      <c r="C63" s="16"/>
      <c r="D63" s="15"/>
      <c r="E63" s="17"/>
      <c r="F63" s="17"/>
      <c r="J63" s="94"/>
      <c r="K63" s="94"/>
      <c r="L63" s="94"/>
    </row>
    <row r="64" spans="1:12" ht="29" x14ac:dyDescent="0.2">
      <c r="A64" s="90"/>
      <c r="B64" s="90"/>
      <c r="C64" s="90"/>
      <c r="D64" s="90"/>
      <c r="E64" s="90"/>
      <c r="F64" s="90"/>
      <c r="J64" s="62"/>
      <c r="K64" s="62"/>
      <c r="L64" s="62"/>
    </row>
    <row r="65" spans="1:14" ht="15" x14ac:dyDescent="0.2">
      <c r="A65" s="84" t="s">
        <v>9</v>
      </c>
      <c r="B65" s="85"/>
      <c r="C65" s="85" t="s">
        <v>28</v>
      </c>
      <c r="D65" s="85"/>
      <c r="E65" s="20"/>
      <c r="F65" s="21"/>
      <c r="J65" s="63"/>
      <c r="K65" s="63"/>
      <c r="L65" s="63"/>
      <c r="M65" s="63"/>
      <c r="N65" s="64"/>
    </row>
    <row r="66" spans="1:14" ht="15" x14ac:dyDescent="0.2">
      <c r="A66" s="86"/>
      <c r="B66" s="87"/>
      <c r="C66" s="117" t="s">
        <v>39</v>
      </c>
      <c r="D66" s="118"/>
      <c r="E66" s="22"/>
      <c r="F66" s="23"/>
      <c r="J66" s="65"/>
      <c r="K66" s="77"/>
      <c r="L66" s="77"/>
      <c r="M66" s="77"/>
      <c r="N66" s="63"/>
    </row>
    <row r="67" spans="1:14" ht="15" x14ac:dyDescent="0.2">
      <c r="A67" s="24"/>
      <c r="B67" s="24"/>
      <c r="C67" s="25"/>
      <c r="D67" s="25"/>
      <c r="E67" s="25"/>
      <c r="F67" s="26"/>
      <c r="J67" s="65"/>
      <c r="K67" s="77"/>
      <c r="L67" s="77"/>
      <c r="M67" s="77"/>
      <c r="N67" s="63"/>
    </row>
    <row r="68" spans="1:14" ht="15" x14ac:dyDescent="0.2">
      <c r="A68" s="27" t="s">
        <v>11</v>
      </c>
      <c r="B68" s="66" t="s">
        <v>29</v>
      </c>
      <c r="C68" s="66" t="s">
        <v>38</v>
      </c>
      <c r="D68" s="66" t="s">
        <v>41</v>
      </c>
      <c r="E68" s="67" t="s">
        <v>15</v>
      </c>
      <c r="F68" s="68" t="s">
        <v>30</v>
      </c>
      <c r="J68" s="65"/>
      <c r="K68" s="77"/>
      <c r="L68" s="77"/>
      <c r="M68" s="77"/>
      <c r="N68" s="63"/>
    </row>
    <row r="69" spans="1:14" ht="15" x14ac:dyDescent="0.2">
      <c r="A69" s="31" t="str">
        <f>A19</f>
        <v>IFF Chemical Holding</v>
      </c>
      <c r="B69" s="119" t="str">
        <f>G19</f>
        <v>MPO</v>
      </c>
      <c r="C69" s="74">
        <v>2900</v>
      </c>
      <c r="D69" s="75">
        <f>C19</f>
        <v>59.84</v>
      </c>
      <c r="E69" s="35">
        <v>0.03</v>
      </c>
      <c r="F69" s="120">
        <v>45765</v>
      </c>
      <c r="J69" s="65"/>
      <c r="K69" s="63"/>
      <c r="L69" s="63"/>
      <c r="M69" s="63"/>
      <c r="N69" s="63"/>
    </row>
    <row r="70" spans="1:14" ht="15" x14ac:dyDescent="0.2">
      <c r="A70" s="37"/>
      <c r="B70" s="32"/>
      <c r="C70" s="33"/>
      <c r="D70" s="34"/>
      <c r="E70" s="38"/>
      <c r="F70" s="36" t="s">
        <v>42</v>
      </c>
      <c r="J70" s="65"/>
      <c r="K70" s="63"/>
      <c r="L70" s="63"/>
      <c r="M70" s="63"/>
      <c r="N70" s="63"/>
    </row>
    <row r="71" spans="1:14" ht="15" x14ac:dyDescent="0.2">
      <c r="A71" s="37"/>
      <c r="B71" s="32"/>
      <c r="C71" s="33"/>
      <c r="D71" s="34"/>
      <c r="E71" s="38"/>
      <c r="F71" s="36"/>
      <c r="J71" s="65"/>
      <c r="K71" s="77"/>
      <c r="L71" s="77"/>
      <c r="M71" s="77"/>
      <c r="N71" s="63"/>
    </row>
    <row r="72" spans="1:14" ht="15" x14ac:dyDescent="0.2">
      <c r="A72" s="37"/>
      <c r="B72" s="41"/>
      <c r="C72" s="41"/>
      <c r="D72" s="41"/>
      <c r="E72" s="41"/>
      <c r="F72" s="45"/>
      <c r="J72" s="65"/>
      <c r="K72" s="77"/>
      <c r="L72" s="77"/>
      <c r="M72" s="77"/>
      <c r="N72" s="63"/>
    </row>
    <row r="73" spans="1:14" ht="15" x14ac:dyDescent="0.2">
      <c r="A73" s="37"/>
      <c r="B73" s="41"/>
      <c r="C73" s="41"/>
      <c r="D73" s="41"/>
      <c r="E73" s="41"/>
      <c r="F73" s="45"/>
      <c r="J73" s="65"/>
      <c r="K73" s="77"/>
      <c r="L73" s="77"/>
      <c r="M73" s="77"/>
      <c r="N73" s="63"/>
    </row>
    <row r="74" spans="1:14" ht="15" x14ac:dyDescent="0.2">
      <c r="A74" s="37"/>
      <c r="B74" s="32"/>
      <c r="C74" s="32"/>
      <c r="D74" s="32"/>
      <c r="E74" s="32"/>
      <c r="F74" s="45"/>
      <c r="J74" s="65"/>
      <c r="K74" s="77"/>
      <c r="L74" s="77"/>
      <c r="M74" s="77"/>
      <c r="N74" s="63"/>
    </row>
    <row r="75" spans="1:14" ht="15" x14ac:dyDescent="0.2">
      <c r="A75" s="37"/>
      <c r="B75" s="41"/>
      <c r="C75" s="41"/>
      <c r="D75" s="41"/>
      <c r="E75" s="41"/>
      <c r="F75" s="45"/>
      <c r="J75" s="65"/>
      <c r="K75" s="63"/>
      <c r="L75" s="63"/>
      <c r="M75" s="63"/>
      <c r="N75" s="63"/>
    </row>
    <row r="76" spans="1:14" ht="15" x14ac:dyDescent="0.2">
      <c r="A76" s="46"/>
      <c r="B76" s="47"/>
      <c r="C76" s="47"/>
      <c r="D76" s="47"/>
      <c r="E76" s="47"/>
      <c r="F76" s="48"/>
      <c r="J76" s="65"/>
      <c r="K76" s="63"/>
      <c r="L76" s="63"/>
      <c r="M76" s="63"/>
      <c r="N76" s="63"/>
    </row>
    <row r="77" spans="1:14" ht="15" x14ac:dyDescent="0.2">
      <c r="A77" s="83"/>
      <c r="B77" s="83"/>
      <c r="C77" s="83"/>
      <c r="D77" s="83"/>
      <c r="E77" s="83"/>
      <c r="F77" s="69"/>
      <c r="J77" s="65"/>
      <c r="K77" s="63"/>
      <c r="L77" s="63"/>
      <c r="M77" s="63"/>
      <c r="N77" s="63"/>
    </row>
    <row r="78" spans="1:14" ht="15" x14ac:dyDescent="0.2">
      <c r="A78" s="49"/>
      <c r="B78" s="49"/>
      <c r="C78" s="49"/>
      <c r="D78" s="49"/>
      <c r="E78" s="50"/>
      <c r="F78" s="70"/>
      <c r="J78" s="65"/>
      <c r="K78" s="77"/>
      <c r="L78" s="77"/>
      <c r="M78" s="77"/>
      <c r="N78" s="63"/>
    </row>
    <row r="79" spans="1:14" ht="15" x14ac:dyDescent="0.2">
      <c r="A79" s="52" t="s">
        <v>18</v>
      </c>
      <c r="E79" s="50"/>
      <c r="F79" s="71"/>
      <c r="J79" s="65"/>
      <c r="K79" s="77"/>
      <c r="L79" s="77"/>
      <c r="M79" s="77"/>
      <c r="N79" s="63"/>
    </row>
    <row r="80" spans="1:14" ht="15" x14ac:dyDescent="0.2">
      <c r="A80" s="54" t="s">
        <v>32</v>
      </c>
      <c r="E80" s="49"/>
      <c r="F80" s="72"/>
      <c r="J80" s="65"/>
      <c r="K80" s="63"/>
      <c r="L80" s="63"/>
      <c r="M80" s="63"/>
      <c r="N80" s="63"/>
    </row>
    <row r="81" spans="1:14" ht="15" x14ac:dyDescent="0.2">
      <c r="A81" s="54" t="s">
        <v>20</v>
      </c>
      <c r="J81" s="65"/>
      <c r="K81" s="63"/>
      <c r="L81" s="63"/>
      <c r="M81" s="63"/>
      <c r="N81" s="63"/>
    </row>
    <row r="82" spans="1:14" ht="15" x14ac:dyDescent="0.2">
      <c r="A82" s="55" t="s">
        <v>33</v>
      </c>
      <c r="J82" s="65"/>
      <c r="K82" s="77"/>
      <c r="L82" s="77"/>
      <c r="M82" s="77"/>
      <c r="N82" s="63"/>
    </row>
    <row r="83" spans="1:14" ht="13.5" customHeight="1" x14ac:dyDescent="0.2">
      <c r="A83" s="55" t="s">
        <v>34</v>
      </c>
      <c r="J83" s="65"/>
      <c r="K83" s="77"/>
      <c r="L83" s="77"/>
      <c r="M83" s="77"/>
      <c r="N83" s="63"/>
    </row>
    <row r="84" spans="1:14" ht="13.5" customHeight="1" x14ac:dyDescent="0.2">
      <c r="A84" s="55" t="s">
        <v>37</v>
      </c>
      <c r="J84" s="65"/>
      <c r="K84" s="63"/>
      <c r="L84" s="63"/>
      <c r="M84" s="63"/>
      <c r="N84" s="63"/>
    </row>
    <row r="85" spans="1:14" ht="15.75" customHeight="1" x14ac:dyDescent="0.2">
      <c r="A85" s="56" t="s">
        <v>35</v>
      </c>
      <c r="D85" s="73"/>
      <c r="E85" s="73"/>
      <c r="F85" s="73"/>
      <c r="J85" s="65"/>
      <c r="K85" s="77"/>
      <c r="L85" s="77"/>
      <c r="M85" s="77"/>
      <c r="N85" s="63"/>
    </row>
    <row r="86" spans="1:14" ht="15" customHeight="1" x14ac:dyDescent="0.2">
      <c r="A86" s="55" t="s">
        <v>36</v>
      </c>
      <c r="D86" s="78"/>
      <c r="E86" s="78"/>
      <c r="F86" s="78"/>
    </row>
    <row r="87" spans="1:14" ht="15" customHeight="1" x14ac:dyDescent="0.2">
      <c r="A87" s="55" t="s">
        <v>22</v>
      </c>
      <c r="D87" s="59"/>
      <c r="E87" s="59"/>
      <c r="F87" s="59"/>
    </row>
    <row r="88" spans="1:14" x14ac:dyDescent="0.2">
      <c r="B88" s="79"/>
      <c r="C88" s="79"/>
      <c r="D88" s="79"/>
      <c r="E88" s="79"/>
    </row>
    <row r="89" spans="1:14" x14ac:dyDescent="0.2">
      <c r="B89" s="79"/>
      <c r="C89" s="79"/>
      <c r="D89" s="79"/>
      <c r="E89" s="79"/>
    </row>
    <row r="90" spans="1:14" x14ac:dyDescent="0.2">
      <c r="B90" s="60"/>
      <c r="C90" s="60"/>
      <c r="D90" s="60"/>
      <c r="E90" s="60"/>
      <c r="F90" s="60"/>
    </row>
    <row r="91" spans="1:14" x14ac:dyDescent="0.2">
      <c r="A91" s="80"/>
      <c r="B91" s="80"/>
      <c r="C91" s="80"/>
      <c r="D91" s="80"/>
      <c r="E91" s="80"/>
      <c r="F91" s="80"/>
    </row>
    <row r="92" spans="1:14" ht="15" customHeight="1" x14ac:dyDescent="0.2">
      <c r="A92" s="81"/>
      <c r="B92" s="81"/>
      <c r="C92" s="81"/>
      <c r="D92" s="81"/>
      <c r="E92" s="81"/>
      <c r="F92" s="81"/>
    </row>
    <row r="93" spans="1:14" x14ac:dyDescent="0.2">
      <c r="A93" s="81"/>
      <c r="B93" s="81"/>
      <c r="C93" s="81"/>
      <c r="D93" s="81"/>
      <c r="E93" s="81"/>
      <c r="F93" s="81"/>
    </row>
    <row r="94" spans="1:14" x14ac:dyDescent="0.2">
      <c r="B94" s="61"/>
      <c r="C94" s="82" t="s">
        <v>1</v>
      </c>
      <c r="D94" s="82"/>
      <c r="E94" s="61"/>
      <c r="F94" s="61"/>
    </row>
    <row r="95" spans="1:14" x14ac:dyDescent="0.2">
      <c r="A95" s="76" t="s">
        <v>51</v>
      </c>
      <c r="B95" s="76"/>
      <c r="C95" s="76"/>
      <c r="D95" s="76"/>
      <c r="E95" s="76"/>
      <c r="F95" s="76"/>
    </row>
    <row r="111" ht="15" customHeight="1" x14ac:dyDescent="0.2"/>
    <row r="139" ht="15" customHeight="1" x14ac:dyDescent="0.2"/>
  </sheetData>
  <mergeCells count="48">
    <mergeCell ref="A1:F1"/>
    <mergeCell ref="A3:C3"/>
    <mergeCell ref="B9:C9"/>
    <mergeCell ref="B10:D10"/>
    <mergeCell ref="H12:I12"/>
    <mergeCell ref="B38:E38"/>
    <mergeCell ref="B39:E39"/>
    <mergeCell ref="A41:F41"/>
    <mergeCell ref="A42:F48"/>
    <mergeCell ref="C49:D49"/>
    <mergeCell ref="A14:F14"/>
    <mergeCell ref="K66:M66"/>
    <mergeCell ref="K67:M67"/>
    <mergeCell ref="A51:F51"/>
    <mergeCell ref="A53:C53"/>
    <mergeCell ref="B59:C59"/>
    <mergeCell ref="B60:D60"/>
    <mergeCell ref="J61:L63"/>
    <mergeCell ref="A64:F64"/>
    <mergeCell ref="A50:F50"/>
    <mergeCell ref="A15:B15"/>
    <mergeCell ref="C15:D15"/>
    <mergeCell ref="A16:B16"/>
    <mergeCell ref="C16:D16"/>
    <mergeCell ref="A27:E27"/>
    <mergeCell ref="D36:F36"/>
    <mergeCell ref="A77:E77"/>
    <mergeCell ref="A65:B65"/>
    <mergeCell ref="C65:D65"/>
    <mergeCell ref="A66:B66"/>
    <mergeCell ref="C66:D66"/>
    <mergeCell ref="K68:M68"/>
    <mergeCell ref="K71:M71"/>
    <mergeCell ref="K72:M72"/>
    <mergeCell ref="K73:M73"/>
    <mergeCell ref="K74:M74"/>
    <mergeCell ref="A95:F95"/>
    <mergeCell ref="K78:M78"/>
    <mergeCell ref="K79:M79"/>
    <mergeCell ref="K82:M82"/>
    <mergeCell ref="K83:M83"/>
    <mergeCell ref="K85:M85"/>
    <mergeCell ref="D86:F86"/>
    <mergeCell ref="B88:E88"/>
    <mergeCell ref="B89:E89"/>
    <mergeCell ref="A91:F91"/>
    <mergeCell ref="A92:F93"/>
    <mergeCell ref="C94:D94"/>
  </mergeCells>
  <printOptions horizontalCentered="1"/>
  <pageMargins left="0.25" right="0.25" top="0.75" bottom="0.75" header="0.3" footer="0.3"/>
  <pageSetup scale="70" orientation="portrait" r:id="rId1"/>
  <headerFooter alignWithMargins="0"/>
  <rowBreaks count="1" manualBreakCount="1">
    <brk id="50" max="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GBL- com - 2012-15-2</vt:lpstr>
      <vt:lpstr>Sheet1</vt:lpstr>
      <vt:lpstr>'GBL- com - 2012-15-2'!Print_Area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Ballaya</dc:creator>
  <cp:lastModifiedBy>pad gan</cp:lastModifiedBy>
  <cp:lastPrinted>2025-02-28T19:35:24Z</cp:lastPrinted>
  <dcterms:created xsi:type="dcterms:W3CDTF">2013-03-12T13:57:23Z</dcterms:created>
  <dcterms:modified xsi:type="dcterms:W3CDTF">2026-05-31T23:17:07Z</dcterms:modified>
</cp:coreProperties>
</file>