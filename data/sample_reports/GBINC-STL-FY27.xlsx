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dmajaganapathy/Documents/Godavari/Financials/budget/"/>
    </mc:Choice>
  </mc:AlternateContent>
  <xr:revisionPtr revIDLastSave="0" documentId="13_ncr:1_{85DE14FA-99E9-AC48-A06E-FAC31952CFDB}" xr6:coauthVersionLast="47" xr6:coauthVersionMax="47" xr10:uidLastSave="{00000000-0000-0000-0000-000000000000}"/>
  <bookViews>
    <workbookView xWindow="5500" yWindow="1120" windowWidth="23900" windowHeight="16640" activeTab="1" xr2:uid="{1E8C92B9-25F7-43E3-98DA-E357D5F1D9F5}"/>
  </bookViews>
  <sheets>
    <sheet name="GBInc 26-27" sheetId="2" r:id="rId1"/>
    <sheet name="STL 26-27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2" l="1"/>
  <c r="G18" i="2"/>
  <c r="F18" i="2"/>
  <c r="E18" i="2"/>
  <c r="P25" i="3"/>
  <c r="O25" i="3" s="1"/>
  <c r="N25" i="3" s="1"/>
  <c r="M25" i="3" s="1"/>
  <c r="L25" i="3" s="1"/>
  <c r="K25" i="3" s="1"/>
  <c r="J25" i="3" s="1"/>
  <c r="I25" i="3" s="1"/>
  <c r="H25" i="3" s="1"/>
  <c r="G25" i="3" s="1"/>
  <c r="F25" i="3" s="1"/>
  <c r="E25" i="3" s="1"/>
  <c r="Q25" i="3" s="1"/>
  <c r="P24" i="3"/>
  <c r="O24" i="3"/>
  <c r="N24" i="3"/>
  <c r="M24" i="3"/>
  <c r="L24" i="3"/>
  <c r="K24" i="3"/>
  <c r="J24" i="3"/>
  <c r="I24" i="3"/>
  <c r="H24" i="3" s="1"/>
  <c r="G24" i="3" s="1"/>
  <c r="F24" i="3" s="1"/>
  <c r="E24" i="3" s="1"/>
  <c r="Q24" i="3" s="1"/>
  <c r="P19" i="3"/>
  <c r="D19" i="3"/>
  <c r="P17" i="3"/>
  <c r="Q17" i="3" s="1"/>
  <c r="Q15" i="3"/>
  <c r="Q14" i="3"/>
  <c r="Q13" i="3"/>
  <c r="Q12" i="3"/>
  <c r="Q11" i="3"/>
  <c r="P8" i="3"/>
  <c r="O8" i="3"/>
  <c r="N8" i="3"/>
  <c r="M8" i="3"/>
  <c r="L8" i="3"/>
  <c r="K8" i="3"/>
  <c r="J8" i="3"/>
  <c r="I8" i="3"/>
  <c r="H8" i="3"/>
  <c r="G8" i="3"/>
  <c r="F8" i="3"/>
  <c r="E8" i="3"/>
  <c r="D8" i="3"/>
  <c r="D21" i="3" s="1"/>
  <c r="D26" i="3" s="1"/>
  <c r="D28" i="3" s="1"/>
  <c r="Q7" i="3"/>
  <c r="Q8" i="3" s="1"/>
  <c r="Q6" i="3"/>
  <c r="Q5" i="3"/>
  <c r="P16" i="2"/>
  <c r="O16" i="2"/>
  <c r="N16" i="2"/>
  <c r="M16" i="2"/>
  <c r="L16" i="2"/>
  <c r="K16" i="2"/>
  <c r="J16" i="2"/>
  <c r="I16" i="2"/>
  <c r="H16" i="2"/>
  <c r="G16" i="2"/>
  <c r="F16" i="2"/>
  <c r="E16" i="2"/>
  <c r="E7" i="2"/>
  <c r="P25" i="2"/>
  <c r="O25" i="2" s="1"/>
  <c r="N25" i="2" s="1"/>
  <c r="M25" i="2" s="1"/>
  <c r="L25" i="2" s="1"/>
  <c r="K25" i="2" s="1"/>
  <c r="J25" i="2" s="1"/>
  <c r="I25" i="2" s="1"/>
  <c r="H25" i="2" s="1"/>
  <c r="G25" i="2" s="1"/>
  <c r="F25" i="2" s="1"/>
  <c r="E25" i="2" s="1"/>
  <c r="Q25" i="2" s="1"/>
  <c r="P24" i="2"/>
  <c r="O24" i="2"/>
  <c r="N24" i="2"/>
  <c r="M24" i="2"/>
  <c r="L24" i="2"/>
  <c r="K24" i="2"/>
  <c r="J24" i="2"/>
  <c r="I24" i="2" s="1"/>
  <c r="H24" i="2" s="1"/>
  <c r="G24" i="2" s="1"/>
  <c r="F24" i="2" s="1"/>
  <c r="E24" i="2" s="1"/>
  <c r="Q24" i="2" s="1"/>
  <c r="D19" i="2"/>
  <c r="Q18" i="2"/>
  <c r="P17" i="2"/>
  <c r="Q17" i="2" s="1"/>
  <c r="P19" i="2"/>
  <c r="Q15" i="2"/>
  <c r="Q14" i="2"/>
  <c r="Q13" i="2"/>
  <c r="Q12" i="2"/>
  <c r="Q11" i="2"/>
  <c r="P8" i="2"/>
  <c r="O8" i="2"/>
  <c r="N8" i="2"/>
  <c r="M8" i="2"/>
  <c r="L8" i="2"/>
  <c r="K8" i="2"/>
  <c r="J8" i="2"/>
  <c r="I8" i="2"/>
  <c r="H8" i="2"/>
  <c r="G8" i="2"/>
  <c r="F8" i="2"/>
  <c r="E8" i="2"/>
  <c r="D8" i="2"/>
  <c r="Q7" i="2"/>
  <c r="Q8" i="2" s="1"/>
  <c r="Q6" i="2"/>
  <c r="Q5" i="2"/>
  <c r="N19" i="3" l="1"/>
  <c r="N21" i="3" s="1"/>
  <c r="N26" i="3" s="1"/>
  <c r="N28" i="3" s="1"/>
  <c r="P21" i="3"/>
  <c r="P26" i="3" s="1"/>
  <c r="P28" i="3" s="1"/>
  <c r="O19" i="3"/>
  <c r="O21" i="3" s="1"/>
  <c r="O26" i="3" s="1"/>
  <c r="O28" i="3" s="1"/>
  <c r="Q16" i="3"/>
  <c r="D21" i="2"/>
  <c r="D26" i="2" s="1"/>
  <c r="D28" i="2" s="1"/>
  <c r="P21" i="2"/>
  <c r="P26" i="2" s="1"/>
  <c r="P28" i="2" s="1"/>
  <c r="M19" i="3" l="1"/>
  <c r="M21" i="3" s="1"/>
  <c r="M26" i="3" s="1"/>
  <c r="M28" i="3" s="1"/>
  <c r="O19" i="2"/>
  <c r="O21" i="2" s="1"/>
  <c r="O26" i="2" s="1"/>
  <c r="O28" i="2" s="1"/>
  <c r="L19" i="3" l="1"/>
  <c r="L21" i="3" s="1"/>
  <c r="L26" i="3" s="1"/>
  <c r="L28" i="3" s="1"/>
  <c r="N19" i="2"/>
  <c r="N21" i="2" s="1"/>
  <c r="N26" i="2" s="1"/>
  <c r="N28" i="2" s="1"/>
  <c r="K19" i="3" l="1"/>
  <c r="K21" i="3" s="1"/>
  <c r="K26" i="3" s="1"/>
  <c r="K28" i="3" s="1"/>
  <c r="M19" i="2"/>
  <c r="M21" i="2" s="1"/>
  <c r="M26" i="2" s="1"/>
  <c r="M28" i="2" s="1"/>
  <c r="J19" i="3" l="1"/>
  <c r="J21" i="3" s="1"/>
  <c r="J26" i="3" s="1"/>
  <c r="J28" i="3" s="1"/>
  <c r="L19" i="2"/>
  <c r="L21" i="2" s="1"/>
  <c r="L26" i="2" s="1"/>
  <c r="L28" i="2" s="1"/>
  <c r="I19" i="3" l="1"/>
  <c r="I21" i="3" s="1"/>
  <c r="I26" i="3" s="1"/>
  <c r="I28" i="3" s="1"/>
  <c r="K19" i="2"/>
  <c r="K21" i="2" s="1"/>
  <c r="K26" i="2" s="1"/>
  <c r="K28" i="2" s="1"/>
  <c r="H19" i="3" l="1"/>
  <c r="H21" i="3" s="1"/>
  <c r="H26" i="3" s="1"/>
  <c r="H28" i="3" s="1"/>
  <c r="J19" i="2"/>
  <c r="J21" i="2" s="1"/>
  <c r="J26" i="2" s="1"/>
  <c r="J28" i="2" s="1"/>
  <c r="G19" i="3" l="1"/>
  <c r="G21" i="3" s="1"/>
  <c r="G26" i="3" s="1"/>
  <c r="G28" i="3" s="1"/>
  <c r="I19" i="2"/>
  <c r="I21" i="2" s="1"/>
  <c r="I26" i="2" s="1"/>
  <c r="I28" i="2" s="1"/>
  <c r="F19" i="3" l="1"/>
  <c r="F21" i="3" s="1"/>
  <c r="F26" i="3" s="1"/>
  <c r="F28" i="3" s="1"/>
  <c r="H19" i="2"/>
  <c r="H21" i="2" s="1"/>
  <c r="H26" i="2" s="1"/>
  <c r="H28" i="2" s="1"/>
  <c r="Q18" i="3" l="1"/>
  <c r="Q19" i="3" s="1"/>
  <c r="Q21" i="3" s="1"/>
  <c r="Q26" i="3" s="1"/>
  <c r="Q28" i="3" s="1"/>
  <c r="E19" i="3"/>
  <c r="E21" i="3" s="1"/>
  <c r="E26" i="3" s="1"/>
  <c r="E28" i="3" s="1"/>
  <c r="G19" i="2"/>
  <c r="G21" i="2" s="1"/>
  <c r="G26" i="2" s="1"/>
  <c r="G28" i="2" s="1"/>
  <c r="F19" i="2" l="1"/>
  <c r="F21" i="2" s="1"/>
  <c r="F26" i="2" s="1"/>
  <c r="F28" i="2" s="1"/>
  <c r="E19" i="2" l="1"/>
  <c r="E21" i="2" s="1"/>
  <c r="E26" i="2" s="1"/>
  <c r="E28" i="2" s="1"/>
  <c r="Q16" i="2"/>
  <c r="Q19" i="2" s="1"/>
  <c r="Q21" i="2" s="1"/>
  <c r="Q26" i="2" s="1"/>
  <c r="Q28" i="2" s="1"/>
</calcChain>
</file>

<file path=xl/sharedStrings.xml><?xml version="1.0" encoding="utf-8"?>
<sst xmlns="http://schemas.openxmlformats.org/spreadsheetml/2006/main" count="54" uniqueCount="25">
  <si>
    <t>Particulars</t>
  </si>
  <si>
    <t>Income</t>
  </si>
  <si>
    <t>Revenue</t>
  </si>
  <si>
    <t>Increase / (Decrease) in stock</t>
  </si>
  <si>
    <t>Other Income</t>
  </si>
  <si>
    <t>Total Income</t>
  </si>
  <si>
    <t xml:space="preserve">         </t>
  </si>
  <si>
    <t>Expenses</t>
  </si>
  <si>
    <t>Raw Material Cost</t>
  </si>
  <si>
    <t>Power &amp; Fuel Cost</t>
  </si>
  <si>
    <t>Stores, Spares &amp; Chemicals</t>
  </si>
  <si>
    <t>Packing Cost</t>
  </si>
  <si>
    <t>Repairs &amp; Maintenance</t>
  </si>
  <si>
    <t>Employee Cost</t>
  </si>
  <si>
    <t>Selling Expenses</t>
  </si>
  <si>
    <t>General &amp; Admin Expenses</t>
  </si>
  <si>
    <t>Total Expenses</t>
  </si>
  <si>
    <t>EBITDA</t>
  </si>
  <si>
    <t>EBITDA % to TI</t>
  </si>
  <si>
    <t>Interest</t>
  </si>
  <si>
    <t>Depreciation</t>
  </si>
  <si>
    <t>EBT</t>
  </si>
  <si>
    <t>Extraordinary Items</t>
  </si>
  <si>
    <t>Profit and Loss Statement_GB Inc ( $, 1000s)</t>
  </si>
  <si>
    <t>Profit and Loss Statement_STL ( $, 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</si>
</sst>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&quot;FY&quot;\-yyyy"/>
    <numFmt numFmtId="166" formatCode="_ * #,##0_ ;_ * \-#,##0_ ;_ * &quot;-&quot;??_ ;_ @_ "/>
    <numFmt numFmtId="167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b/>
      <sz val="10"/>
      <name val="Calibri Light"/>
      <family val="2"/>
    </font>
    <font>
      <b/>
      <sz val="10"/>
      <color indexed="8"/>
      <name val="Calibri Light"/>
      <family val="2"/>
    </font>
    <font>
      <sz val="1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right" vertical="center"/>
      <protection locked="0"/>
    </xf>
    <xf numFmtId="17" fontId="5" fillId="2" borderId="1" xfId="0" applyNumberFormat="1" applyFont="1" applyFill="1" applyBorder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Protection="1">
      <protection locked="0"/>
    </xf>
    <xf numFmtId="166" fontId="6" fillId="0" borderId="3" xfId="1" applyNumberFormat="1" applyFont="1" applyBorder="1" applyAlignment="1" applyProtection="1">
      <alignment horizontal="left"/>
      <protection locked="0"/>
    </xf>
    <xf numFmtId="167" fontId="3" fillId="0" borderId="3" xfId="0" applyNumberFormat="1" applyFont="1" applyBorder="1" applyProtection="1">
      <protection locked="0"/>
    </xf>
    <xf numFmtId="166" fontId="6" fillId="0" borderId="3" xfId="1" applyNumberFormat="1" applyFont="1" applyBorder="1" applyProtection="1">
      <protection locked="0"/>
    </xf>
    <xf numFmtId="166" fontId="4" fillId="0" borderId="3" xfId="1" applyNumberFormat="1" applyFont="1" applyBorder="1" applyProtection="1">
      <protection locked="0"/>
    </xf>
    <xf numFmtId="167" fontId="2" fillId="0" borderId="4" xfId="0" applyNumberFormat="1" applyFont="1" applyBorder="1" applyProtection="1">
      <protection locked="0"/>
    </xf>
    <xf numFmtId="9" fontId="6" fillId="0" borderId="3" xfId="2" applyFont="1" applyBorder="1" applyProtection="1">
      <protection locked="0"/>
    </xf>
    <xf numFmtId="9" fontId="3" fillId="0" borderId="3" xfId="2" applyFont="1" applyBorder="1" applyProtection="1">
      <protection locked="0"/>
    </xf>
    <xf numFmtId="167" fontId="3" fillId="0" borderId="5" xfId="0" applyNumberFormat="1" applyFont="1" applyBorder="1" applyProtection="1">
      <protection locked="0"/>
    </xf>
    <xf numFmtId="167" fontId="7" fillId="0" borderId="3" xfId="0" applyNumberFormat="1" applyFont="1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05802C0-74C4-4E10-847E-94206677D8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9839-1F9E-AF43-B189-1E1C09537B5F}">
  <dimension ref="C2:Q28"/>
  <sheetViews>
    <sheetView topLeftCell="C3" zoomScale="125" workbookViewId="0">
      <selection activeCell="M29" sqref="M29"/>
    </sheetView>
  </sheetViews>
  <sheetFormatPr baseColWidth="10" defaultColWidth="8.83203125" defaultRowHeight="15" x14ac:dyDescent="0.2"/>
  <cols>
    <col min="3" max="3" width="30.1640625" customWidth="1"/>
  </cols>
  <sheetData>
    <row r="2" spans="3:17" x14ac:dyDescent="0.2">
      <c r="C2" s="1" t="s">
        <v>23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3:17" x14ac:dyDescent="0.2">
      <c r="C3" s="3" t="s">
        <v>0</v>
      </c>
      <c r="D3" s="4">
        <v>46112</v>
      </c>
      <c r="E3" s="5">
        <v>46142</v>
      </c>
      <c r="F3" s="5">
        <v>46173</v>
      </c>
      <c r="G3" s="5">
        <v>46203</v>
      </c>
      <c r="H3" s="5">
        <v>46234</v>
      </c>
      <c r="I3" s="5">
        <v>46265</v>
      </c>
      <c r="J3" s="5">
        <v>46295</v>
      </c>
      <c r="K3" s="5">
        <v>46326</v>
      </c>
      <c r="L3" s="5">
        <v>46356</v>
      </c>
      <c r="M3" s="5">
        <v>46387</v>
      </c>
      <c r="N3" s="5">
        <v>46418</v>
      </c>
      <c r="O3" s="5">
        <v>46446</v>
      </c>
      <c r="P3" s="5">
        <v>46477</v>
      </c>
      <c r="Q3" s="4">
        <v>46477</v>
      </c>
    </row>
    <row r="4" spans="3:17" x14ac:dyDescent="0.2">
      <c r="C4" s="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3:17" x14ac:dyDescent="0.2">
      <c r="C5" s="8" t="s">
        <v>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f>SUM(E5:P5)</f>
        <v>0</v>
      </c>
    </row>
    <row r="6" spans="3:17" x14ac:dyDescent="0.2">
      <c r="C6" s="10" t="s">
        <v>3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f>SUM(E6:P6)</f>
        <v>0</v>
      </c>
    </row>
    <row r="7" spans="3:17" x14ac:dyDescent="0.2">
      <c r="C7" s="10" t="s">
        <v>4</v>
      </c>
      <c r="D7" s="9">
        <v>129</v>
      </c>
      <c r="E7" s="9">
        <f>100/12</f>
        <v>8.3333333333333339</v>
      </c>
      <c r="F7" s="9">
        <v>8</v>
      </c>
      <c r="G7" s="9">
        <v>8</v>
      </c>
      <c r="H7" s="9">
        <v>8</v>
      </c>
      <c r="I7" s="9">
        <v>8</v>
      </c>
      <c r="J7" s="9">
        <v>8</v>
      </c>
      <c r="K7" s="9">
        <v>8</v>
      </c>
      <c r="L7" s="9">
        <v>8</v>
      </c>
      <c r="M7" s="9">
        <v>8</v>
      </c>
      <c r="N7" s="9">
        <v>8</v>
      </c>
      <c r="O7" s="9">
        <v>8</v>
      </c>
      <c r="P7" s="9">
        <v>8</v>
      </c>
      <c r="Q7" s="9">
        <f>SUM(E7:P7)</f>
        <v>96.333333333333343</v>
      </c>
    </row>
    <row r="8" spans="3:17" x14ac:dyDescent="0.2">
      <c r="C8" s="11" t="s">
        <v>5</v>
      </c>
      <c r="D8" s="12">
        <f t="shared" ref="D8:Q8" si="0">SUM(D5:D7)</f>
        <v>129</v>
      </c>
      <c r="E8" s="12">
        <f t="shared" si="0"/>
        <v>8.3333333333333339</v>
      </c>
      <c r="F8" s="12">
        <f t="shared" si="0"/>
        <v>8</v>
      </c>
      <c r="G8" s="12">
        <f t="shared" si="0"/>
        <v>8</v>
      </c>
      <c r="H8" s="12">
        <f t="shared" si="0"/>
        <v>8</v>
      </c>
      <c r="I8" s="12">
        <f t="shared" si="0"/>
        <v>8</v>
      </c>
      <c r="J8" s="12">
        <f t="shared" si="0"/>
        <v>8</v>
      </c>
      <c r="K8" s="12">
        <f t="shared" si="0"/>
        <v>8</v>
      </c>
      <c r="L8" s="12">
        <f t="shared" si="0"/>
        <v>8</v>
      </c>
      <c r="M8" s="12">
        <f t="shared" si="0"/>
        <v>8</v>
      </c>
      <c r="N8" s="12">
        <f t="shared" si="0"/>
        <v>8</v>
      </c>
      <c r="O8" s="12">
        <f t="shared" si="0"/>
        <v>8</v>
      </c>
      <c r="P8" s="12">
        <f t="shared" si="0"/>
        <v>8</v>
      </c>
      <c r="Q8" s="12">
        <f t="shared" si="0"/>
        <v>96.333333333333343</v>
      </c>
    </row>
    <row r="9" spans="3:17" x14ac:dyDescent="0.2">
      <c r="C9" s="11" t="s">
        <v>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3:17" x14ac:dyDescent="0.2">
      <c r="C10" s="11" t="s">
        <v>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3:17" x14ac:dyDescent="0.2">
      <c r="C11" s="10" t="s">
        <v>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f t="shared" ref="Q11:Q18" si="1">SUM(E11:P11)</f>
        <v>0</v>
      </c>
    </row>
    <row r="12" spans="3:17" x14ac:dyDescent="0.2">
      <c r="C12" s="10" t="s">
        <v>9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f t="shared" si="1"/>
        <v>0</v>
      </c>
    </row>
    <row r="13" spans="3:17" x14ac:dyDescent="0.2">
      <c r="C13" s="10" t="s">
        <v>10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f t="shared" si="1"/>
        <v>0</v>
      </c>
    </row>
    <row r="14" spans="3:17" x14ac:dyDescent="0.2">
      <c r="C14" s="10" t="s">
        <v>11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f t="shared" si="1"/>
        <v>0</v>
      </c>
    </row>
    <row r="15" spans="3:17" x14ac:dyDescent="0.2">
      <c r="C15" s="10" t="s">
        <v>12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f t="shared" si="1"/>
        <v>0</v>
      </c>
    </row>
    <row r="16" spans="3:17" x14ac:dyDescent="0.2">
      <c r="C16" s="10" t="s">
        <v>13</v>
      </c>
      <c r="D16" s="9">
        <v>67</v>
      </c>
      <c r="E16" s="9">
        <f>9/12</f>
        <v>0.75</v>
      </c>
      <c r="F16" s="9">
        <f>9/12</f>
        <v>0.75</v>
      </c>
      <c r="G16" s="9">
        <f>9/12</f>
        <v>0.75</v>
      </c>
      <c r="H16" s="9">
        <f>9/12</f>
        <v>0.75</v>
      </c>
      <c r="I16" s="9">
        <f>9/12</f>
        <v>0.75</v>
      </c>
      <c r="J16" s="9">
        <f>9/12</f>
        <v>0.75</v>
      </c>
      <c r="K16" s="9">
        <f>9/12</f>
        <v>0.75</v>
      </c>
      <c r="L16" s="9">
        <f>9/12</f>
        <v>0.75</v>
      </c>
      <c r="M16" s="9">
        <f>9/12</f>
        <v>0.75</v>
      </c>
      <c r="N16" s="9">
        <f>9/12</f>
        <v>0.75</v>
      </c>
      <c r="O16" s="9">
        <f>9/12</f>
        <v>0.75</v>
      </c>
      <c r="P16" s="9">
        <f>9/12</f>
        <v>0.75</v>
      </c>
      <c r="Q16" s="9">
        <f t="shared" si="1"/>
        <v>9</v>
      </c>
    </row>
    <row r="17" spans="3:17" x14ac:dyDescent="0.2">
      <c r="C17" s="10" t="s">
        <v>14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f>D17/12</f>
        <v>0</v>
      </c>
      <c r="Q17" s="9">
        <f t="shared" si="1"/>
        <v>0</v>
      </c>
    </row>
    <row r="18" spans="3:17" x14ac:dyDescent="0.2">
      <c r="C18" s="10" t="s">
        <v>15</v>
      </c>
      <c r="D18" s="9">
        <v>68.849999999999994</v>
      </c>
      <c r="E18" s="9">
        <f>60/12</f>
        <v>5</v>
      </c>
      <c r="F18" s="9">
        <f>60/12</f>
        <v>5</v>
      </c>
      <c r="G18" s="9">
        <f>60/12</f>
        <v>5</v>
      </c>
      <c r="H18" s="9">
        <v>7</v>
      </c>
      <c r="I18" s="9">
        <f>60/12</f>
        <v>5</v>
      </c>
      <c r="J18" s="9">
        <v>7</v>
      </c>
      <c r="K18" s="16">
        <v>5</v>
      </c>
      <c r="L18" s="9">
        <v>10</v>
      </c>
      <c r="M18" s="16">
        <v>5</v>
      </c>
      <c r="N18" s="16">
        <v>5</v>
      </c>
      <c r="O18" s="16">
        <v>5</v>
      </c>
      <c r="P18" s="9">
        <v>7</v>
      </c>
      <c r="Q18" s="9">
        <f t="shared" si="1"/>
        <v>71</v>
      </c>
    </row>
    <row r="19" spans="3:17" x14ac:dyDescent="0.2">
      <c r="C19" s="11" t="s">
        <v>16</v>
      </c>
      <c r="D19" s="12">
        <f t="shared" ref="D19:Q19" si="2">SUM(D11:D18)</f>
        <v>135.85</v>
      </c>
      <c r="E19" s="12">
        <f t="shared" si="2"/>
        <v>5.75</v>
      </c>
      <c r="F19" s="12">
        <f t="shared" si="2"/>
        <v>5.75</v>
      </c>
      <c r="G19" s="12">
        <f t="shared" si="2"/>
        <v>5.75</v>
      </c>
      <c r="H19" s="12">
        <f t="shared" si="2"/>
        <v>7.75</v>
      </c>
      <c r="I19" s="12">
        <f t="shared" si="2"/>
        <v>5.75</v>
      </c>
      <c r="J19" s="12">
        <f t="shared" si="2"/>
        <v>7.75</v>
      </c>
      <c r="K19" s="12">
        <f t="shared" si="2"/>
        <v>5.75</v>
      </c>
      <c r="L19" s="12">
        <f t="shared" si="2"/>
        <v>10.75</v>
      </c>
      <c r="M19" s="12">
        <f t="shared" si="2"/>
        <v>5.75</v>
      </c>
      <c r="N19" s="12">
        <f t="shared" si="2"/>
        <v>5.75</v>
      </c>
      <c r="O19" s="12">
        <f t="shared" si="2"/>
        <v>5.75</v>
      </c>
      <c r="P19" s="12">
        <f t="shared" si="2"/>
        <v>7.75</v>
      </c>
      <c r="Q19" s="12">
        <f t="shared" si="2"/>
        <v>80</v>
      </c>
    </row>
    <row r="20" spans="3:17" x14ac:dyDescent="0.2">
      <c r="C20" s="11" t="s">
        <v>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3:17" x14ac:dyDescent="0.2">
      <c r="C21" s="11" t="s">
        <v>17</v>
      </c>
      <c r="D21" s="12">
        <f t="shared" ref="D21:Q21" si="3">+D8-D19</f>
        <v>-6.8499999999999943</v>
      </c>
      <c r="E21" s="12">
        <f t="shared" si="3"/>
        <v>2.5833333333333339</v>
      </c>
      <c r="F21" s="12">
        <f t="shared" si="3"/>
        <v>2.25</v>
      </c>
      <c r="G21" s="12">
        <f t="shared" si="3"/>
        <v>2.25</v>
      </c>
      <c r="H21" s="12">
        <f t="shared" si="3"/>
        <v>0.25</v>
      </c>
      <c r="I21" s="12">
        <f t="shared" si="3"/>
        <v>2.25</v>
      </c>
      <c r="J21" s="12">
        <f t="shared" si="3"/>
        <v>0.25</v>
      </c>
      <c r="K21" s="12">
        <f t="shared" si="3"/>
        <v>2.25</v>
      </c>
      <c r="L21" s="12">
        <f t="shared" si="3"/>
        <v>-2.75</v>
      </c>
      <c r="M21" s="12">
        <f t="shared" si="3"/>
        <v>2.25</v>
      </c>
      <c r="N21" s="12">
        <f t="shared" si="3"/>
        <v>2.25</v>
      </c>
      <c r="O21" s="12">
        <f t="shared" si="3"/>
        <v>2.25</v>
      </c>
      <c r="P21" s="12">
        <f t="shared" si="3"/>
        <v>0.25</v>
      </c>
      <c r="Q21" s="12">
        <f t="shared" si="3"/>
        <v>16.333333333333343</v>
      </c>
    </row>
    <row r="22" spans="3:17" x14ac:dyDescent="0.2">
      <c r="C22" s="13" t="s">
        <v>18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3:17" x14ac:dyDescent="0.2">
      <c r="C23" s="11" t="s">
        <v>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3:17" x14ac:dyDescent="0.2">
      <c r="C24" s="10" t="s">
        <v>19</v>
      </c>
      <c r="D24" s="9">
        <v>0.45999999999999996</v>
      </c>
      <c r="E24" s="9">
        <f t="shared" ref="E24:O25" si="4">F24</f>
        <v>4.0250000000000001E-2</v>
      </c>
      <c r="F24" s="9">
        <f t="shared" si="4"/>
        <v>4.0250000000000001E-2</v>
      </c>
      <c r="G24" s="9">
        <f t="shared" si="4"/>
        <v>4.0250000000000001E-2</v>
      </c>
      <c r="H24" s="9">
        <f t="shared" si="4"/>
        <v>4.0250000000000001E-2</v>
      </c>
      <c r="I24" s="9">
        <f t="shared" si="4"/>
        <v>4.0250000000000001E-2</v>
      </c>
      <c r="J24" s="9">
        <f t="shared" si="4"/>
        <v>4.0250000000000001E-2</v>
      </c>
      <c r="K24" s="9">
        <f t="shared" si="4"/>
        <v>4.0250000000000001E-2</v>
      </c>
      <c r="L24" s="9">
        <f t="shared" si="4"/>
        <v>4.0250000000000001E-2</v>
      </c>
      <c r="M24" s="9">
        <f t="shared" si="4"/>
        <v>4.0250000000000001E-2</v>
      </c>
      <c r="N24" s="9">
        <f t="shared" si="4"/>
        <v>4.0250000000000001E-2</v>
      </c>
      <c r="O24" s="9">
        <f t="shared" si="4"/>
        <v>4.0250000000000001E-2</v>
      </c>
      <c r="P24" s="9">
        <f>D24*1.05/12</f>
        <v>4.0250000000000001E-2</v>
      </c>
      <c r="Q24" s="9">
        <f>SUM(E24:P24)</f>
        <v>0.48300000000000004</v>
      </c>
    </row>
    <row r="25" spans="3:17" x14ac:dyDescent="0.2">
      <c r="C25" s="10" t="s">
        <v>20</v>
      </c>
      <c r="D25" s="9">
        <v>0.6100000000000001</v>
      </c>
      <c r="E25" s="9">
        <f t="shared" si="4"/>
        <v>5.3375000000000013E-2</v>
      </c>
      <c r="F25" s="9">
        <f t="shared" si="4"/>
        <v>5.3375000000000013E-2</v>
      </c>
      <c r="G25" s="9">
        <f t="shared" si="4"/>
        <v>5.3375000000000013E-2</v>
      </c>
      <c r="H25" s="9">
        <f t="shared" si="4"/>
        <v>5.3375000000000013E-2</v>
      </c>
      <c r="I25" s="9">
        <f t="shared" si="4"/>
        <v>5.3375000000000013E-2</v>
      </c>
      <c r="J25" s="9">
        <f t="shared" si="4"/>
        <v>5.3375000000000013E-2</v>
      </c>
      <c r="K25" s="9">
        <f t="shared" si="4"/>
        <v>5.3375000000000013E-2</v>
      </c>
      <c r="L25" s="9">
        <f t="shared" si="4"/>
        <v>5.3375000000000013E-2</v>
      </c>
      <c r="M25" s="9">
        <f t="shared" si="4"/>
        <v>5.3375000000000013E-2</v>
      </c>
      <c r="N25" s="9">
        <f t="shared" si="4"/>
        <v>5.3375000000000013E-2</v>
      </c>
      <c r="O25" s="9">
        <f t="shared" si="4"/>
        <v>5.3375000000000013E-2</v>
      </c>
      <c r="P25" s="9">
        <f>D25*1.05/12</f>
        <v>5.3375000000000013E-2</v>
      </c>
      <c r="Q25" s="9">
        <f>SUM(E25:P25)</f>
        <v>0.64050000000000029</v>
      </c>
    </row>
    <row r="26" spans="3:17" x14ac:dyDescent="0.2">
      <c r="C26" s="11" t="s">
        <v>21</v>
      </c>
      <c r="D26" s="12">
        <f t="shared" ref="D26:Q26" si="5">+D21-D24-D25</f>
        <v>-7.9199999999999946</v>
      </c>
      <c r="E26" s="12">
        <f t="shared" si="5"/>
        <v>2.4897083333333341</v>
      </c>
      <c r="F26" s="12">
        <f t="shared" si="5"/>
        <v>2.1563750000000002</v>
      </c>
      <c r="G26" s="12">
        <f t="shared" si="5"/>
        <v>2.1563750000000002</v>
      </c>
      <c r="H26" s="12">
        <f t="shared" si="5"/>
        <v>0.15637499999999999</v>
      </c>
      <c r="I26" s="12">
        <f t="shared" si="5"/>
        <v>2.1563750000000002</v>
      </c>
      <c r="J26" s="12">
        <f t="shared" si="5"/>
        <v>0.15637499999999999</v>
      </c>
      <c r="K26" s="12">
        <f t="shared" si="5"/>
        <v>2.1563750000000002</v>
      </c>
      <c r="L26" s="12">
        <f t="shared" si="5"/>
        <v>-2.8436249999999998</v>
      </c>
      <c r="M26" s="12">
        <f t="shared" si="5"/>
        <v>2.1563750000000002</v>
      </c>
      <c r="N26" s="12">
        <f t="shared" si="5"/>
        <v>2.1563750000000002</v>
      </c>
      <c r="O26" s="12">
        <f t="shared" si="5"/>
        <v>2.1563750000000002</v>
      </c>
      <c r="P26" s="12">
        <f t="shared" si="5"/>
        <v>0.15637499999999999</v>
      </c>
      <c r="Q26" s="12">
        <f t="shared" si="5"/>
        <v>15.209833333333343</v>
      </c>
    </row>
    <row r="27" spans="3:17" x14ac:dyDescent="0.2">
      <c r="C27" s="10" t="s">
        <v>22</v>
      </c>
      <c r="D27" s="15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15">
        <v>0</v>
      </c>
    </row>
    <row r="28" spans="3:17" x14ac:dyDescent="0.2">
      <c r="C28" s="11" t="s">
        <v>21</v>
      </c>
      <c r="D28" s="12">
        <f t="shared" ref="D28:Q28" si="6">+D26-D27</f>
        <v>-7.9199999999999946</v>
      </c>
      <c r="E28" s="12">
        <f t="shared" si="6"/>
        <v>2.4897083333333341</v>
      </c>
      <c r="F28" s="12">
        <f t="shared" si="6"/>
        <v>2.1563750000000002</v>
      </c>
      <c r="G28" s="12">
        <f t="shared" si="6"/>
        <v>2.1563750000000002</v>
      </c>
      <c r="H28" s="12">
        <f t="shared" si="6"/>
        <v>0.15637499999999999</v>
      </c>
      <c r="I28" s="12">
        <f t="shared" si="6"/>
        <v>2.1563750000000002</v>
      </c>
      <c r="J28" s="12">
        <f t="shared" si="6"/>
        <v>0.15637499999999999</v>
      </c>
      <c r="K28" s="12">
        <f t="shared" si="6"/>
        <v>2.1563750000000002</v>
      </c>
      <c r="L28" s="12">
        <f t="shared" si="6"/>
        <v>-2.8436249999999998</v>
      </c>
      <c r="M28" s="12">
        <f t="shared" si="6"/>
        <v>2.1563750000000002</v>
      </c>
      <c r="N28" s="12">
        <f t="shared" si="6"/>
        <v>2.1563750000000002</v>
      </c>
      <c r="O28" s="12">
        <f t="shared" si="6"/>
        <v>2.1563750000000002</v>
      </c>
      <c r="P28" s="12">
        <f t="shared" si="6"/>
        <v>0.15637499999999999</v>
      </c>
      <c r="Q28" s="12">
        <f t="shared" si="6"/>
        <v>15.209833333333343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30AF-7BDB-1A40-AD12-0D4BF72BFC13}">
  <dimension ref="C2:Q28"/>
  <sheetViews>
    <sheetView tabSelected="1" topLeftCell="B2" zoomScale="125" workbookViewId="0">
      <selection activeCell="P19" sqref="P19"/>
    </sheetView>
  </sheetViews>
  <sheetFormatPr baseColWidth="10" defaultColWidth="8.83203125" defaultRowHeight="15" x14ac:dyDescent="0.2"/>
  <cols>
    <col min="3" max="3" width="30.1640625" customWidth="1"/>
  </cols>
  <sheetData>
    <row r="2" spans="3:17" x14ac:dyDescent="0.2">
      <c r="C2" s="1" t="s">
        <v>24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3:17" x14ac:dyDescent="0.2">
      <c r="C3" s="3" t="s">
        <v>0</v>
      </c>
      <c r="D3" s="4">
        <v>46112</v>
      </c>
      <c r="E3" s="5">
        <v>46142</v>
      </c>
      <c r="F3" s="5">
        <v>46173</v>
      </c>
      <c r="G3" s="5">
        <v>46203</v>
      </c>
      <c r="H3" s="5">
        <v>46234</v>
      </c>
      <c r="I3" s="5">
        <v>46265</v>
      </c>
      <c r="J3" s="5">
        <v>46295</v>
      </c>
      <c r="K3" s="5">
        <v>46326</v>
      </c>
      <c r="L3" s="5">
        <v>46356</v>
      </c>
      <c r="M3" s="5">
        <v>46387</v>
      </c>
      <c r="N3" s="5">
        <v>46418</v>
      </c>
      <c r="O3" s="5">
        <v>46446</v>
      </c>
      <c r="P3" s="5">
        <v>46477</v>
      </c>
      <c r="Q3" s="4">
        <v>46477</v>
      </c>
    </row>
    <row r="4" spans="3:17" x14ac:dyDescent="0.2">
      <c r="C4" s="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3:17" x14ac:dyDescent="0.2">
      <c r="C5" s="8" t="s">
        <v>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f>SUM(E5:P5)</f>
        <v>0</v>
      </c>
    </row>
    <row r="6" spans="3:17" x14ac:dyDescent="0.2">
      <c r="C6" s="10" t="s">
        <v>3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f>SUM(E6:P6)</f>
        <v>0</v>
      </c>
    </row>
    <row r="7" spans="3:17" x14ac:dyDescent="0.2">
      <c r="C7" s="10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>
        <f>SUM(E7:P7)</f>
        <v>0</v>
      </c>
    </row>
    <row r="8" spans="3:17" x14ac:dyDescent="0.2">
      <c r="C8" s="11" t="s">
        <v>5</v>
      </c>
      <c r="D8" s="12">
        <f t="shared" ref="D8:Q8" si="0">SUM(D5:D7)</f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</row>
    <row r="9" spans="3:17" x14ac:dyDescent="0.2">
      <c r="C9" s="11" t="s">
        <v>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3:17" x14ac:dyDescent="0.2">
      <c r="C10" s="11" t="s">
        <v>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3:17" x14ac:dyDescent="0.2">
      <c r="C11" s="10" t="s">
        <v>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f t="shared" ref="Q11:Q18" si="1">SUM(E11:P11)</f>
        <v>0</v>
      </c>
    </row>
    <row r="12" spans="3:17" x14ac:dyDescent="0.2">
      <c r="C12" s="10" t="s">
        <v>9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f t="shared" si="1"/>
        <v>0</v>
      </c>
    </row>
    <row r="13" spans="3:17" x14ac:dyDescent="0.2">
      <c r="C13" s="10" t="s">
        <v>10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f t="shared" si="1"/>
        <v>0</v>
      </c>
    </row>
    <row r="14" spans="3:17" x14ac:dyDescent="0.2">
      <c r="C14" s="10" t="s">
        <v>11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f t="shared" si="1"/>
        <v>0</v>
      </c>
    </row>
    <row r="15" spans="3:17" x14ac:dyDescent="0.2">
      <c r="C15" s="10" t="s">
        <v>12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f t="shared" si="1"/>
        <v>0</v>
      </c>
    </row>
    <row r="16" spans="3:17" x14ac:dyDescent="0.2">
      <c r="C16" s="10" t="s">
        <v>13</v>
      </c>
      <c r="D16" s="9">
        <v>42</v>
      </c>
      <c r="E16" s="9">
        <v>8.83</v>
      </c>
      <c r="F16" s="9">
        <v>8.83</v>
      </c>
      <c r="G16" s="9">
        <v>8.83</v>
      </c>
      <c r="H16" s="9">
        <v>8.83</v>
      </c>
      <c r="I16" s="9">
        <v>8.83</v>
      </c>
      <c r="J16" s="9">
        <v>8.83</v>
      </c>
      <c r="K16" s="9">
        <v>8.83</v>
      </c>
      <c r="L16" s="9">
        <v>8.83</v>
      </c>
      <c r="M16" s="9">
        <v>8.83</v>
      </c>
      <c r="N16" s="9">
        <v>8.83</v>
      </c>
      <c r="O16" s="9">
        <v>8.83</v>
      </c>
      <c r="P16" s="9">
        <v>8.83</v>
      </c>
      <c r="Q16" s="9">
        <f t="shared" si="1"/>
        <v>105.96</v>
      </c>
    </row>
    <row r="17" spans="3:17" x14ac:dyDescent="0.2">
      <c r="C17" s="10" t="s">
        <v>14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f>D17/12</f>
        <v>0</v>
      </c>
      <c r="Q17" s="9">
        <f t="shared" si="1"/>
        <v>0</v>
      </c>
    </row>
    <row r="18" spans="3:17" x14ac:dyDescent="0.2">
      <c r="C18" s="10" t="s">
        <v>15</v>
      </c>
      <c r="D18" s="9">
        <v>26.469000000000001</v>
      </c>
      <c r="E18" s="9">
        <v>8.1769999999999996</v>
      </c>
      <c r="F18" s="9">
        <v>8</v>
      </c>
      <c r="G18" s="9">
        <v>2.1469999999999998</v>
      </c>
      <c r="H18" s="9">
        <v>2.1469999999999998</v>
      </c>
      <c r="I18" s="9">
        <v>2.1469999999999998</v>
      </c>
      <c r="J18" s="9">
        <v>8.1470000000000002</v>
      </c>
      <c r="K18" s="9">
        <v>2.1469999999999998</v>
      </c>
      <c r="L18" s="9">
        <v>2.1469999999999998</v>
      </c>
      <c r="M18" s="9">
        <v>2.1469999999999998</v>
      </c>
      <c r="N18" s="9">
        <v>8.1769999999999996</v>
      </c>
      <c r="O18" s="9">
        <v>2.1469999999999998</v>
      </c>
      <c r="P18" s="9">
        <v>5</v>
      </c>
      <c r="Q18" s="9">
        <f t="shared" si="1"/>
        <v>52.529999999999987</v>
      </c>
    </row>
    <row r="19" spans="3:17" x14ac:dyDescent="0.2">
      <c r="C19" s="11" t="s">
        <v>16</v>
      </c>
      <c r="D19" s="12">
        <f t="shared" ref="D19:Q19" si="2">SUM(D11:D18)</f>
        <v>68.468999999999994</v>
      </c>
      <c r="E19" s="12">
        <f t="shared" si="2"/>
        <v>17.006999999999998</v>
      </c>
      <c r="F19" s="12">
        <f t="shared" si="2"/>
        <v>16.829999999999998</v>
      </c>
      <c r="G19" s="12">
        <f t="shared" si="2"/>
        <v>10.977</v>
      </c>
      <c r="H19" s="12">
        <f t="shared" si="2"/>
        <v>10.977</v>
      </c>
      <c r="I19" s="12">
        <f t="shared" si="2"/>
        <v>10.977</v>
      </c>
      <c r="J19" s="12">
        <f t="shared" si="2"/>
        <v>16.977</v>
      </c>
      <c r="K19" s="12">
        <f t="shared" si="2"/>
        <v>10.977</v>
      </c>
      <c r="L19" s="12">
        <f t="shared" si="2"/>
        <v>10.977</v>
      </c>
      <c r="M19" s="12">
        <f t="shared" si="2"/>
        <v>10.977</v>
      </c>
      <c r="N19" s="12">
        <f t="shared" si="2"/>
        <v>17.006999999999998</v>
      </c>
      <c r="O19" s="12">
        <f t="shared" si="2"/>
        <v>10.977</v>
      </c>
      <c r="P19" s="12">
        <f t="shared" si="2"/>
        <v>13.83</v>
      </c>
      <c r="Q19" s="12">
        <f t="shared" si="2"/>
        <v>158.48999999999998</v>
      </c>
    </row>
    <row r="20" spans="3:17" x14ac:dyDescent="0.2">
      <c r="C20" s="11" t="s">
        <v>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3:17" x14ac:dyDescent="0.2">
      <c r="C21" s="11" t="s">
        <v>17</v>
      </c>
      <c r="D21" s="12">
        <f t="shared" ref="D21:Q21" si="3">+D8-D19</f>
        <v>-68.468999999999994</v>
      </c>
      <c r="E21" s="12">
        <f t="shared" si="3"/>
        <v>-17.006999999999998</v>
      </c>
      <c r="F21" s="12">
        <f t="shared" si="3"/>
        <v>-16.829999999999998</v>
      </c>
      <c r="G21" s="12">
        <f t="shared" si="3"/>
        <v>-10.977</v>
      </c>
      <c r="H21" s="12">
        <f t="shared" si="3"/>
        <v>-10.977</v>
      </c>
      <c r="I21" s="12">
        <f t="shared" si="3"/>
        <v>-10.977</v>
      </c>
      <c r="J21" s="12">
        <f t="shared" si="3"/>
        <v>-16.977</v>
      </c>
      <c r="K21" s="12">
        <f t="shared" si="3"/>
        <v>-10.977</v>
      </c>
      <c r="L21" s="12">
        <f t="shared" si="3"/>
        <v>-10.977</v>
      </c>
      <c r="M21" s="12">
        <f t="shared" si="3"/>
        <v>-10.977</v>
      </c>
      <c r="N21" s="12">
        <f t="shared" si="3"/>
        <v>-17.006999999999998</v>
      </c>
      <c r="O21" s="12">
        <f t="shared" si="3"/>
        <v>-10.977</v>
      </c>
      <c r="P21" s="12">
        <f t="shared" si="3"/>
        <v>-13.83</v>
      </c>
      <c r="Q21" s="12">
        <f t="shared" si="3"/>
        <v>-158.48999999999998</v>
      </c>
    </row>
    <row r="22" spans="3:17" x14ac:dyDescent="0.2">
      <c r="C22" s="13" t="s">
        <v>18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3:17" x14ac:dyDescent="0.2">
      <c r="C23" s="11" t="s">
        <v>6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3:17" x14ac:dyDescent="0.2">
      <c r="C24" s="10" t="s">
        <v>19</v>
      </c>
      <c r="D24" s="9">
        <v>0.45999999999999996</v>
      </c>
      <c r="E24" s="9">
        <f t="shared" ref="E24:O25" si="4">F24</f>
        <v>4.0250000000000001E-2</v>
      </c>
      <c r="F24" s="9">
        <f t="shared" si="4"/>
        <v>4.0250000000000001E-2</v>
      </c>
      <c r="G24" s="9">
        <f t="shared" si="4"/>
        <v>4.0250000000000001E-2</v>
      </c>
      <c r="H24" s="9">
        <f t="shared" si="4"/>
        <v>4.0250000000000001E-2</v>
      </c>
      <c r="I24" s="9">
        <f t="shared" si="4"/>
        <v>4.0250000000000001E-2</v>
      </c>
      <c r="J24" s="9">
        <f t="shared" si="4"/>
        <v>4.0250000000000001E-2</v>
      </c>
      <c r="K24" s="9">
        <f t="shared" si="4"/>
        <v>4.0250000000000001E-2</v>
      </c>
      <c r="L24" s="9">
        <f t="shared" si="4"/>
        <v>4.0250000000000001E-2</v>
      </c>
      <c r="M24" s="9">
        <f t="shared" si="4"/>
        <v>4.0250000000000001E-2</v>
      </c>
      <c r="N24" s="9">
        <f t="shared" si="4"/>
        <v>4.0250000000000001E-2</v>
      </c>
      <c r="O24" s="9">
        <f t="shared" si="4"/>
        <v>4.0250000000000001E-2</v>
      </c>
      <c r="P24" s="9">
        <f>D24*1.05/12</f>
        <v>4.0250000000000001E-2</v>
      </c>
      <c r="Q24" s="9">
        <f>SUM(E24:P24)</f>
        <v>0.48300000000000004</v>
      </c>
    </row>
    <row r="25" spans="3:17" x14ac:dyDescent="0.2">
      <c r="C25" s="10" t="s">
        <v>20</v>
      </c>
      <c r="D25" s="9">
        <v>0.6100000000000001</v>
      </c>
      <c r="E25" s="9">
        <f t="shared" si="4"/>
        <v>5.3375000000000013E-2</v>
      </c>
      <c r="F25" s="9">
        <f t="shared" si="4"/>
        <v>5.3375000000000013E-2</v>
      </c>
      <c r="G25" s="9">
        <f t="shared" si="4"/>
        <v>5.3375000000000013E-2</v>
      </c>
      <c r="H25" s="9">
        <f t="shared" si="4"/>
        <v>5.3375000000000013E-2</v>
      </c>
      <c r="I25" s="9">
        <f t="shared" si="4"/>
        <v>5.3375000000000013E-2</v>
      </c>
      <c r="J25" s="9">
        <f t="shared" si="4"/>
        <v>5.3375000000000013E-2</v>
      </c>
      <c r="K25" s="9">
        <f t="shared" si="4"/>
        <v>5.3375000000000013E-2</v>
      </c>
      <c r="L25" s="9">
        <f t="shared" si="4"/>
        <v>5.3375000000000013E-2</v>
      </c>
      <c r="M25" s="9">
        <f t="shared" si="4"/>
        <v>5.3375000000000013E-2</v>
      </c>
      <c r="N25" s="9">
        <f t="shared" si="4"/>
        <v>5.3375000000000013E-2</v>
      </c>
      <c r="O25" s="9">
        <f t="shared" si="4"/>
        <v>5.3375000000000013E-2</v>
      </c>
      <c r="P25" s="9">
        <f>D25*1.05/12</f>
        <v>5.3375000000000013E-2</v>
      </c>
      <c r="Q25" s="9">
        <f>SUM(E25:P25)</f>
        <v>0.64050000000000029</v>
      </c>
    </row>
    <row r="26" spans="3:17" x14ac:dyDescent="0.2">
      <c r="C26" s="11" t="s">
        <v>21</v>
      </c>
      <c r="D26" s="12">
        <f t="shared" ref="D26:Q26" si="5">+D21-D24-D25</f>
        <v>-69.538999999999987</v>
      </c>
      <c r="E26" s="12">
        <f t="shared" si="5"/>
        <v>-17.100624999999997</v>
      </c>
      <c r="F26" s="12">
        <f t="shared" si="5"/>
        <v>-16.923624999999998</v>
      </c>
      <c r="G26" s="12">
        <f t="shared" si="5"/>
        <v>-11.070625000000001</v>
      </c>
      <c r="H26" s="12">
        <f t="shared" si="5"/>
        <v>-11.070625000000001</v>
      </c>
      <c r="I26" s="12">
        <f t="shared" si="5"/>
        <v>-11.070625000000001</v>
      </c>
      <c r="J26" s="12">
        <f t="shared" si="5"/>
        <v>-17.070625</v>
      </c>
      <c r="K26" s="12">
        <f t="shared" si="5"/>
        <v>-11.070625000000001</v>
      </c>
      <c r="L26" s="12">
        <f t="shared" si="5"/>
        <v>-11.070625000000001</v>
      </c>
      <c r="M26" s="12">
        <f t="shared" si="5"/>
        <v>-11.070625000000001</v>
      </c>
      <c r="N26" s="12">
        <f t="shared" si="5"/>
        <v>-17.100624999999997</v>
      </c>
      <c r="O26" s="12">
        <f t="shared" si="5"/>
        <v>-11.070625000000001</v>
      </c>
      <c r="P26" s="12">
        <f t="shared" si="5"/>
        <v>-13.923625000000001</v>
      </c>
      <c r="Q26" s="12">
        <f t="shared" si="5"/>
        <v>-159.61349999999999</v>
      </c>
    </row>
    <row r="27" spans="3:17" x14ac:dyDescent="0.2">
      <c r="C27" s="10" t="s">
        <v>22</v>
      </c>
      <c r="D27" s="15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15">
        <v>0</v>
      </c>
    </row>
    <row r="28" spans="3:17" x14ac:dyDescent="0.2">
      <c r="C28" s="11" t="s">
        <v>21</v>
      </c>
      <c r="D28" s="12">
        <f t="shared" ref="D28:Q28" si="6">+D26-D27</f>
        <v>-69.538999999999987</v>
      </c>
      <c r="E28" s="12">
        <f t="shared" si="6"/>
        <v>-17.100624999999997</v>
      </c>
      <c r="F28" s="12">
        <f t="shared" si="6"/>
        <v>-16.923624999999998</v>
      </c>
      <c r="G28" s="12">
        <f t="shared" si="6"/>
        <v>-11.070625000000001</v>
      </c>
      <c r="H28" s="12">
        <f t="shared" si="6"/>
        <v>-11.070625000000001</v>
      </c>
      <c r="I28" s="12">
        <f t="shared" si="6"/>
        <v>-11.070625000000001</v>
      </c>
      <c r="J28" s="12">
        <f t="shared" si="6"/>
        <v>-17.070625</v>
      </c>
      <c r="K28" s="12">
        <f t="shared" si="6"/>
        <v>-11.070625000000001</v>
      </c>
      <c r="L28" s="12">
        <f t="shared" si="6"/>
        <v>-11.070625000000001</v>
      </c>
      <c r="M28" s="12">
        <f t="shared" si="6"/>
        <v>-11.070625000000001</v>
      </c>
      <c r="N28" s="12">
        <f t="shared" si="6"/>
        <v>-17.100624999999997</v>
      </c>
      <c r="O28" s="12">
        <f t="shared" si="6"/>
        <v>-11.070625000000001</v>
      </c>
      <c r="P28" s="12">
        <f t="shared" si="6"/>
        <v>-13.923625000000001</v>
      </c>
      <c r="Q28" s="12">
        <f t="shared" si="6"/>
        <v>-159.61349999999999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GBInc 26-27</vt:lpstr>
      <vt:lpstr>STL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SINHA</dc:creator>
  <cp:lastModifiedBy>Padmaja Ganapathy</cp:lastModifiedBy>
  <dcterms:created xsi:type="dcterms:W3CDTF">2026-05-18T08:17:22Z</dcterms:created>
  <dcterms:modified xsi:type="dcterms:W3CDTF">2026-05-18T23:32:02Z</dcterms:modified>
</cp:coreProperties>
</file>