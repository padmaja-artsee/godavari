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28900DE4-FCFB-4BEF-896E-541F8EBE5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K4" i="1"/>
  <c r="K5" i="1" s="1"/>
  <c r="N4" i="1" l="1"/>
  <c r="N5" i="1" l="1"/>
  <c r="O4" i="1"/>
  <c r="O5" i="1" s="1"/>
</calcChain>
</file>

<file path=xl/sharedStrings.xml><?xml version="1.0" encoding="utf-8"?>
<sst xmlns="http://schemas.openxmlformats.org/spreadsheetml/2006/main" count="25" uniqueCount="22">
  <si>
    <t>GBINC COMMISSION TOWARDS SUPPLY OF EA</t>
  </si>
  <si>
    <t>SR.NO</t>
  </si>
  <si>
    <t>SAIL  MONTH</t>
  </si>
  <si>
    <t xml:space="preserve">INVOICE NO. </t>
  </si>
  <si>
    <t>VESSEL SAIL DATE</t>
  </si>
  <si>
    <t>SHIP TO PARTY</t>
  </si>
  <si>
    <t>PORT OF DISCHARGE</t>
  </si>
  <si>
    <t>QTY</t>
  </si>
  <si>
    <t>CURRENCY</t>
  </si>
  <si>
    <t>RATE PER MT</t>
  </si>
  <si>
    <t>VALUE</t>
  </si>
  <si>
    <t>OCEAN FRIEGHT</t>
  </si>
  <si>
    <t>INSURANCE</t>
  </si>
  <si>
    <t>FOB VALUE</t>
  </si>
  <si>
    <t>COMMISSION</t>
  </si>
  <si>
    <t>AIMCO SOLREC LTD.</t>
  </si>
  <si>
    <t>MONTREAL , CANADA</t>
  </si>
  <si>
    <t>USD</t>
  </si>
  <si>
    <t>TOTAL</t>
  </si>
  <si>
    <t>APRIL</t>
  </si>
  <si>
    <t>GBL/EA/001/26-27</t>
  </si>
  <si>
    <t>07.04.2026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</si>
</sst>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0.000"/>
    <numFmt numFmtId="166" formatCode="_(* #,##0.000_);_(* \(#,##0.000\);_(* &quot;-&quot;??_);_(@_)"/>
    <numFmt numFmtId="167" formatCode="_ * #,##0.000_ ;_ * \-#,##0.0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mbria"/>
      <family val="2"/>
      <scheme val="maj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2" xfId="0" applyFont="1" applyBorder="1" applyAlignment="1">
      <alignment horizontal="center" wrapText="1"/>
    </xf>
    <xf numFmtId="165" fontId="3" fillId="0" borderId="2" xfId="0" applyNumberFormat="1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wrapText="1"/>
    </xf>
    <xf numFmtId="43" fontId="3" fillId="0" borderId="2" xfId="0" applyNumberFormat="1" applyFont="1" applyBorder="1" applyAlignment="1">
      <alignment horizontal="center" wrapText="1"/>
    </xf>
    <xf numFmtId="43" fontId="0" fillId="0" borderId="2" xfId="0" applyNumberFormat="1" applyBorder="1" applyAlignment="1">
      <alignment horizontal="center" wrapText="1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5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top"/>
    </xf>
    <xf numFmtId="167" fontId="6" fillId="0" borderId="3" xfId="1" applyNumberFormat="1" applyFont="1" applyBorder="1"/>
    <xf numFmtId="166" fontId="4" fillId="0" borderId="3" xfId="0" applyNumberFormat="1" applyFont="1" applyBorder="1" applyAlignment="1">
      <alignment vertical="top"/>
    </xf>
    <xf numFmtId="167" fontId="5" fillId="0" borderId="3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vertical="top"/>
    </xf>
    <xf numFmtId="2" fontId="7" fillId="0" borderId="3" xfId="0" applyNumberFormat="1" applyFont="1" applyBorder="1" applyAlignment="1">
      <alignment vertical="top"/>
    </xf>
    <xf numFmtId="43" fontId="7" fillId="0" borderId="3" xfId="0" applyNumberFormat="1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7" fillId="0" borderId="4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6" xfId="0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"/>
  <sheetViews>
    <sheetView tabSelected="1" topLeftCell="F1" workbookViewId="0">
      <selection activeCell="M18" sqref="M18"/>
    </sheetView>
  </sheetViews>
  <sheetFormatPr defaultRowHeight="14.4" x14ac:dyDescent="0.3"/>
  <cols>
    <col min="1" max="1" width="5.109375" customWidth="1"/>
    <col min="3" max="3" width="15" customWidth="1"/>
    <col min="4" max="4" width="16.88671875" bestFit="1" customWidth="1"/>
    <col min="5" max="14" width="15" customWidth="1"/>
    <col min="15" max="15" width="16.33203125" customWidth="1"/>
    <col min="16" max="16" width="15" customWidth="1"/>
  </cols>
  <sheetData>
    <row r="2" spans="2:16" ht="27.6" x14ac:dyDescent="0.3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2:16" ht="36" x14ac:dyDescent="0.3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3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5" t="s">
        <v>14</v>
      </c>
      <c r="P3" s="4" t="s">
        <v>8</v>
      </c>
    </row>
    <row r="4" spans="2:16" x14ac:dyDescent="0.3">
      <c r="B4" s="6">
        <v>1</v>
      </c>
      <c r="C4" s="7" t="s">
        <v>19</v>
      </c>
      <c r="D4" s="8" t="s">
        <v>20</v>
      </c>
      <c r="E4" s="9" t="s">
        <v>21</v>
      </c>
      <c r="F4" s="7" t="s">
        <v>15</v>
      </c>
      <c r="G4" s="7" t="s">
        <v>16</v>
      </c>
      <c r="H4" s="10">
        <v>14.4</v>
      </c>
      <c r="I4" s="11" t="s">
        <v>17</v>
      </c>
      <c r="J4" s="12">
        <v>1106.46</v>
      </c>
      <c r="K4" s="13">
        <f>H4*J4</f>
        <v>15933.024000000001</v>
      </c>
      <c r="L4" s="12">
        <v>2950</v>
      </c>
      <c r="M4" s="12">
        <v>6.2</v>
      </c>
      <c r="N4" s="13">
        <f>K4-L4-M4</f>
        <v>12976.824000000001</v>
      </c>
      <c r="O4" s="13">
        <f>N4*3%</f>
        <v>389.30471999999997</v>
      </c>
      <c r="P4" s="13" t="s">
        <v>17</v>
      </c>
    </row>
    <row r="5" spans="2:16" ht="18" x14ac:dyDescent="0.3">
      <c r="B5" s="17" t="s">
        <v>18</v>
      </c>
      <c r="C5" s="18"/>
      <c r="D5" s="18"/>
      <c r="E5" s="18"/>
      <c r="F5" s="18"/>
      <c r="G5" s="19"/>
      <c r="H5" s="14">
        <f>SUM(H4)</f>
        <v>14.4</v>
      </c>
      <c r="I5" s="14"/>
      <c r="J5" s="14"/>
      <c r="K5" s="14">
        <f>SUM(K4)</f>
        <v>15933.024000000001</v>
      </c>
      <c r="L5" s="14"/>
      <c r="M5" s="14"/>
      <c r="N5" s="14">
        <f t="shared" ref="N5:O5" si="0">SUM(N4)</f>
        <v>12976.824000000001</v>
      </c>
      <c r="O5" s="14">
        <f t="shared" si="0"/>
        <v>389.30471999999997</v>
      </c>
      <c r="P5" s="15" t="s">
        <v>17</v>
      </c>
    </row>
  </sheetData>
  <mergeCells count="2">
    <mergeCell ref="B2:P2"/>
    <mergeCell ref="B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2026-05-05T16:21:25Z</dcterms:modified>
</cp:coreProperties>
</file>